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ccfffa2e8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3c8c0353808b4db3"/>
    <x:sheet xmlns:r="http://schemas.openxmlformats.org/officeDocument/2006/relationships" name="Tratamento" sheetId="2" r:id="R36c00684abbd47e0"/>
    <x:sheet xmlns:r="http://schemas.openxmlformats.org/officeDocument/2006/relationships" name="Logaritmos" sheetId="3" r:id="R858fd704645649d1"/>
    <x:sheet xmlns:r="http://schemas.openxmlformats.org/officeDocument/2006/relationships" name="Quadrados" sheetId="4" r:id="Ra514d32b762a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"/>
    <x:numFmt numFmtId="202" formatCode="0.0000000"/>
    <x:numFmt numFmtId="203" formatCode="0.000000E+00"/>
    <x:numFmt numFmtId="204" formatCode="0.000000"/>
    <x:numFmt numFmtId="205" formatCode="0.000"/>
  </x:numFmts>
  <x:fonts count="5">
    <x:font>
      <x:sz val="11"/>
      <x:name val="Carlito"/>
    </x:font>
    <x:font>
      <x:sz val="11"/>
      <x:color rgb="FF202C3C"/>
      <x:name val="Arial"/>
    </x:font>
    <x:font>
      <x:b/>
      <x:sz val="16"/>
      <x:color rgb="FF202C3C"/>
      <x:name val="Arial"/>
    </x:font>
    <x:font>
      <x:b/>
      <x:sz val="11"/>
      <x:color rgb="FFFFFFFF"/>
      <x:name val="Arial"/>
    </x:font>
    <x:font>
      <x:b/>
      <x:sz val="11"/>
      <x:color rgb="FF202C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3D57"/>
      </x:patternFill>
    </x:fill>
    <x:fill>
      <x:patternFill patternType="solid">
        <x:fgColor rgb="FFFFF2CC"/>
      </x:patternFill>
    </x:fill>
    <x:fill>
      <x:patternFill patternType="solid">
        <x:fgColor rgb="FFF0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4" fontId="1" fillId="4" borderId="0" xfId="0" applyNumberFormat="1" applyFont="1" applyFill="1" applyBorder="1"/>
    <x:xf numFmtId="205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c037b56ef4ba0" /><Relationship Type="http://schemas.openxmlformats.org/officeDocument/2006/relationships/theme" Target="/xl/theme/theme1.xml" Id="Rbd4446b8f63d4b39" /><Relationship Type="http://schemas.openxmlformats.org/officeDocument/2006/relationships/sharedStrings" Target="/xl/sharedStrings.xml" Id="Rf8e859f5000141a9" /><Relationship Type="http://schemas.openxmlformats.org/officeDocument/2006/relationships/worksheet" Target="/xl/worksheets/sheet1.xml" Id="R3c8c0353808b4db3" /><Relationship Type="http://schemas.openxmlformats.org/officeDocument/2006/relationships/worksheet" Target="/xl/worksheets/sheet2.xml" Id="R36c00684abbd47e0" /><Relationship Type="http://schemas.openxmlformats.org/officeDocument/2006/relationships/worksheet" Target="/xl/worksheets/sheet3.xml" Id="R858fd704645649d1" /><Relationship Type="http://schemas.openxmlformats.org/officeDocument/2006/relationships/worksheet" Target="/xl/worksheets/sheet4.xml" Id="Ra514d32b762a4e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2" hidden="0" customWidth="1"/>
    <x:col min="4" max="4" width="16" hidden="0" customWidth="1"/>
    <x:col min="5" max="5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EX03 — Resultados dos cálculos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06/10/2026 · Heitor Yochida de Ávila · Sofia Skolimoski · Tiago de Almeida Raile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6" t="str">
        <x:v>Grandeza e modelo</x:v>
      </x:c>
      <x:c r="B5" s="6" t="str">
        <x:v>Valor</x:v>
      </x:c>
      <x:c r="C5" s="6" t="str">
        <x:v>Incerteza formal</x:v>
      </x:c>
      <x:c r="D5" s="6" t="str">
        <x:v>Unidade</x:v>
      </x:c>
      <x:c r="E5" s="6" t="str">
        <x:v>χ² reduzido</x:v>
      </x:c>
      <x:c r="F5" s="1"/>
      <x:c r="G5" s="1"/>
      <x:c r="H5" s="1"/>
      <x:c r="I5" s="1"/>
      <x:c r="J5" s="1"/>
      <x:c r="K5" s="1"/>
      <x:c r="L5" s="1"/>
    </x:row>
    <x:row r="6" ht="23" customHeight="1">
      <x:c r="A6" s="11" t="str">
        <x:v>Expoente livre n</x:v>
      </x:c>
      <x:c r="B6" s="19" t="n">
        <x:f>'Logaritmos'!B36</x:f>
        <x:v>2.1082327608988765</x:v>
      </x:c>
      <x:c r="C6" s="19" t="n">
        <x:f>'Logaritmos'!B37</x:f>
        <x:v>0.001653814095093586</x:v>
      </x:c>
      <x:c r="D6" s="11" t="str"/>
      <x:c r="E6" s="20" t="n">
        <x:f>'Logaritmos'!B41</x:f>
        <x:v>53.05127630196793</x:v>
      </x:c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C da lei de potência</x:v>
      </x:c>
      <x:c r="B7" s="17" t="n">
        <x:f>'Logaritmos'!B38</x:f>
        <x:v>5.31129199299279</x:v>
      </x:c>
      <x:c r="C7" s="17" t="n">
        <x:f>'Logaritmos'!B39</x:f>
        <x:v>0.009509059317701405</x:v>
      </x:c>
      <x:c r="D7" s="1" t="str">
        <x:v>m</x:v>
      </x:c>
      <x:c r="E7" s="18" t="n">
        <x:f>'Logaritmos'!B41</x:f>
        <x:v>53.05127630196793</x:v>
      </x:c>
      <x:c r="F7" s="1"/>
      <x:c r="G7" s="1"/>
      <x:c r="H7" s="1"/>
      <x:c r="I7" s="1"/>
      <x:c r="J7" s="1"/>
      <x:c r="K7" s="1"/>
      <x:c r="L7" s="1"/>
    </x:row>
    <x:row r="8" ht="23" customHeight="1">
      <x:c r="A8" s="11" t="str">
        <x:v>g por ln com n = 2</x:v>
      </x:c>
      <x:c r="B8" s="19" t="n">
        <x:f>'Logaritmos'!B45</x:f>
        <x:v>9.467582479991053</x:v>
      </x:c>
      <x:c r="C8" s="19" t="n">
        <x:f>'Logaritmos'!B46</x:f>
        <x:v>0.003001595607455507</x:v>
      </x:c>
      <x:c r="D8" s="11" t="str">
        <x:v>m/s²</x:v>
      </x:c>
      <x:c r="E8" s="20" t="n">
        <x:f>'Logaritmos'!B48</x:f>
        <x:v>347.17684886984824</x:v>
      </x:c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g por t² pela origem</x:v>
      </x:c>
      <x:c r="B9" s="17" t="n">
        <x:f>'Quadrados'!B33</x:f>
        <x:v>9.47504539969881</x:v>
      </x:c>
      <x:c r="C9" s="17" t="n">
        <x:f>'Quadrados'!B34</x:f>
        <x:v>0.0030047369197351926</x:v>
      </x:c>
      <x:c r="D9" s="1" t="str">
        <x:v>m/s²</x:v>
      </x:c>
      <x:c r="E9" s="18" t="n">
        <x:f>'Quadrados'!B36</x:f>
        <x:v>320.8309940764799</x:v>
      </x:c>
      <x:c r="F9" s="1"/>
      <x:c r="G9" s="1"/>
      <x:c r="H9" s="1"/>
      <x:c r="I9" s="1"/>
      <x:c r="J9" s="1"/>
      <x:c r="K9" s="1"/>
      <x:c r="L9" s="1"/>
    </x:row>
    <x:row r="10" ht="23" customHeight="1">
      <x:c r="A10" s="11" t="str">
        <x:v>g por t² com intercepto livre</x:v>
      </x:c>
      <x:c r="B10" s="19" t="n">
        <x:f>'Quadrados'!B43</x:f>
        <x:v>9.878354931568792</x:v>
      </x:c>
      <x:c r="C10" s="19" t="n">
        <x:f>'Quadrados'!B44</x:f>
        <x:v>0.0067395235919600165</x:v>
      </x:c>
      <x:c r="D10" s="11" t="str">
        <x:v>m/s²</x:v>
      </x:c>
      <x:c r="E10" s="20" t="n">
        <x:f>'Quadrados'!B46</x:f>
        <x:v>3.0786403370167545</x:v>
      </x:c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Intercepto livre de t²</x:v>
      </x:c>
      <x:c r="B11" s="17" t="n">
        <x:f>'Quadrados'!B39</x:f>
        <x:v>0.004482307620981502</x:v>
      </x:c>
      <x:c r="C11" s="17" t="n">
        <x:f>'Quadrados'!B41</x:f>
        <x:v>0.00006284429023193789</x:v>
      </x:c>
      <x:c r="D11" s="1" t="str">
        <x:v>s²</x:v>
      </x:c>
      <x:c r="E11" s="18" t="n">
        <x:f>'Quadrados'!B46</x:f>
        <x:v>3.0786403370167545</x:v>
      </x:c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 t="str">
        <x:v>Incertezas formais: propagação das incertezas informadas, sem reescala por χ².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 t="str">
        <x:v>Os resíduos excedem as incertezas; estes valores não representam precisão física demonstrada.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O expoente livre difere de 2. Nesse modelo, 2C não é uma aceleração gravitacional constante.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v>O intercepto livre é um diagnóstico; nenhuma altura foi alterada ou excluída.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 t="str">
        <x:v>Altura sem incerteza considerada; u instrumental do tempo = 0,0001 s.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 t="str">
        <x:v>Relatório ainda não elaborado. Fórmulas e métodos completos na resolução de cálculos.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EX03 — Medidas e tratamento dos tempos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Fonte: refs/medidas_fisicaEX03.xlsx, conferida pelo usuário em 09/10/2026.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6" t="str">
        <x:v>Ponto</x:v>
      </x:c>
      <x:c r="B5" s="6" t="str">
        <x:v>d (cm)</x:v>
      </x:c>
      <x:c r="C5" s="6" t="str">
        <x:v>t1 (s)</x:v>
      </x:c>
      <x:c r="D5" s="6" t="str">
        <x:v>t2 (s)</x:v>
      </x:c>
      <x:c r="E5" s="6" t="str">
        <x:v>t3 (s)</x:v>
      </x:c>
      <x:c r="F5" s="6" t="str">
        <x:v>d (m)</x:v>
      </x:c>
      <x:c r="G5" s="6" t="str">
        <x:v>t médio (s)</x:v>
      </x:c>
      <x:c r="H5" s="6" t="str">
        <x:v>s (s)</x:v>
      </x:c>
      <x:c r="I5" s="6" t="str">
        <x:v>u estat (s)</x:v>
      </x:c>
      <x:c r="J5" s="6" t="str">
        <x:v>u total (s)</x:v>
      </x:c>
      <x:c r="K5" s="6" t="str">
        <x:v>t² (s²)</x:v>
      </x:c>
      <x:c r="L5" s="6" t="str">
        <x:v>u(t²) (s²)</x:v>
      </x:c>
    </x:row>
    <x:row r="6" ht="23" customHeight="1">
      <x:c r="A6" s="11" t="n">
        <x:v>1</x:v>
      </x:c>
      <x:c r="B6" s="11" t="n">
        <x:v>10</x:v>
      </x:c>
      <x:c r="C6" s="12" t="n">
        <x:v>0.158</x:v>
      </x:c>
      <x:c r="D6" s="12" t="n">
        <x:v>0.1572</x:v>
      </x:c>
      <x:c r="E6" s="12" t="n">
        <x:v>0.158</x:v>
      </x:c>
      <x:c r="F6" s="13" t="n">
        <x:f>B6/100</x:f>
        <x:v>0.1</x:v>
      </x:c>
      <x:c r="G6" s="14" t="n">
        <x:f>AVERAGE(C6:E6)</x:f>
        <x:v>0.15773333333333336</x:v>
      </x:c>
      <x:c r="H6" s="14" t="n">
        <x:f>_xlfn.STDEV.S(C6:E6)</x:f>
        <x:v>0.0004618802153516978</x:v>
      </x:c>
      <x:c r="I6" s="14" t="n">
        <x:f>H6/SQRT(COUNT(C6:E6))</x:f>
        <x:v>0.00026666666666666505</x:v>
      </x:c>
      <x:c r="J6" s="14" t="n">
        <x:f>SQRT(I6^2+$D$25^2)</x:f>
        <x:v>0.00028480012484391617</x:v>
      </x:c>
      <x:c r="K6" s="14" t="n">
        <x:f>G6^2</x:f>
        <x:v>0.024879804444444455</x:v>
      </x:c>
      <x:c r="L6" s="14" t="n">
        <x:f>2*G6*J6</x:f>
        <x:v>0.00008984494605076078</x:v>
      </x:c>
    </x:row>
    <x:row r="7" ht="23" customHeight="1">
      <x:c r="A7" s="1" t="n">
        <x:v>2</x:v>
      </x:c>
      <x:c r="B7" s="1" t="n">
        <x:v>15</x:v>
      </x:c>
      <x:c r="C7" s="7" t="n">
        <x:v>0.1865</x:v>
      </x:c>
      <x:c r="D7" s="7" t="n">
        <x:v>0.1865</x:v>
      </x:c>
      <x:c r="E7" s="7" t="n">
        <x:v>0.1877</x:v>
      </x:c>
      <x:c r="F7" s="9" t="n">
        <x:f>B7/100</x:f>
        <x:v>0.15</x:v>
      </x:c>
      <x:c r="G7" s="10" t="n">
        <x:f>AVERAGE(C7:E7)</x:f>
        <x:v>0.18689999999999998</x:v>
      </x:c>
      <x:c r="H7" s="10" t="n">
        <x:f>_xlfn.STDEV.S(C7:E7)</x:f>
        <x:v>0.0006928203230275547</x:v>
      </x:c>
      <x:c r="I7" s="10" t="n">
        <x:f>H7/SQRT(COUNT(C7:E7))</x:f>
        <x:v>0.0004000000000000022</x:v>
      </x:c>
      <x:c r="J7" s="10" t="n">
        <x:f>SQRT(I7^2+$D$25^2)</x:f>
        <x:v>0.0004123105625617682</x:v>
      </x:c>
      <x:c r="K7" s="10" t="n">
        <x:f>G7^2</x:f>
        <x:v>0.034931609999999995</x:v>
      </x:c>
      <x:c r="L7" s="10" t="n">
        <x:f>2*G7*J7</x:f>
        <x:v>0.00015412168828558893</x:v>
      </x:c>
    </x:row>
    <x:row r="8" ht="23" customHeight="1">
      <x:c r="A8" s="11" t="n">
        <x:v>3</x:v>
      </x:c>
      <x:c r="B8" s="11" t="n">
        <x:v>20</x:v>
      </x:c>
      <x:c r="C8" s="12" t="n">
        <x:v>0.2111</x:v>
      </x:c>
      <x:c r="D8" s="12" t="n">
        <x:v>0.212</x:v>
      </x:c>
      <x:c r="E8" s="12" t="n">
        <x:v>0.2122</x:v>
      </x:c>
      <x:c r="F8" s="13" t="n">
        <x:f>B8/100</x:f>
        <x:v>0.2</x:v>
      </x:c>
      <x:c r="G8" s="14" t="n">
        <x:f>AVERAGE(C8:E8)</x:f>
        <x:v>0.21176666666666666</x:v>
      </x:c>
      <x:c r="H8" s="14" t="n">
        <x:f>_xlfn.STDEV.S(C8:E8)</x:f>
        <x:v>0.0005859465277082246</x:v>
      </x:c>
      <x:c r="I8" s="14" t="n">
        <x:f>H8/SQRT(COUNT(C8:E8))</x:f>
        <x:v>0.00033829638550307003</x:v>
      </x:c>
      <x:c r="J8" s="14" t="n">
        <x:f>SQRT(I8^2+$D$25^2)</x:f>
        <x:v>0.00035276684147527495</x:v>
      </x:c>
      <x:c r="K8" s="14" t="n">
        <x:f>G8^2</x:f>
        <x:v>0.04484512111111111</x:v>
      </x:c>
      <x:c r="L8" s="14" t="n">
        <x:f>2*G8*J8</x:f>
        <x:v>0.00014940851625949478</x:v>
      </x:c>
    </x:row>
    <x:row r="9" ht="23" customHeight="1">
      <x:c r="A9" s="1" t="n">
        <x:v>4</x:v>
      </x:c>
      <x:c r="B9" s="1" t="n">
        <x:v>25</x:v>
      </x:c>
      <x:c r="C9" s="7" t="n">
        <x:v>0.2348</x:v>
      </x:c>
      <x:c r="D9" s="7" t="n">
        <x:v>0.2352</x:v>
      </x:c>
      <x:c r="E9" s="7" t="n">
        <x:v>0.235</x:v>
      </x:c>
      <x:c r="F9" s="9" t="n">
        <x:f>B9/100</x:f>
        <x:v>0.25</x:v>
      </x:c>
      <x:c r="G9" s="10" t="n">
        <x:f>AVERAGE(C9:E9)</x:f>
        <x:v>0.235</x:v>
      </x:c>
      <x:c r="H9" s="10" t="n">
        <x:f>_xlfn.STDEV.S(C9:E9)</x:f>
        <x:v>0.00019999999999999185</x:v>
      </x:c>
      <x:c r="I9" s="10" t="n">
        <x:f>H9/SQRT(COUNT(C9:E9))</x:f>
        <x:v>0.00011547005383792045</x:v>
      </x:c>
      <x:c r="J9" s="10" t="n">
        <x:f>SQRT(I9^2+$D$25^2)</x:f>
        <x:v>0.0001527525231651911</x:v>
      </x:c>
      <x:c r="K9" s="10" t="n">
        <x:f>G9^2</x:f>
        <x:v>0.055224999999999996</x:v>
      </x:c>
      <x:c r="L9" s="10" t="n">
        <x:f>2*G9*J9</x:f>
        <x:v>0.00007179368588763981</x:v>
      </x:c>
    </x:row>
    <x:row r="10" ht="23" customHeight="1">
      <x:c r="A10" s="11" t="n">
        <x:v>5</x:v>
      </x:c>
      <x:c r="B10" s="11" t="n">
        <x:v>30</x:v>
      </x:c>
      <x:c r="C10" s="12" t="n">
        <x:v>0.2556</x:v>
      </x:c>
      <x:c r="D10" s="12" t="n">
        <x:v>0.2561</x:v>
      </x:c>
      <x:c r="E10" s="12" t="n">
        <x:v>0.2552</x:v>
      </x:c>
      <x:c r="F10" s="13" t="n">
        <x:f>B10/100</x:f>
        <x:v>0.3</x:v>
      </x:c>
      <x:c r="G10" s="14" t="n">
        <x:f>AVERAGE(C10:E10)</x:f>
        <x:v>0.2556333333333333</x:v>
      </x:c>
      <x:c r="H10" s="14" t="n">
        <x:f>_xlfn.STDEV.S(C10:E10)</x:f>
        <x:v>0.0004509249752822952</x:v>
      </x:c>
      <x:c r="I10" s="14" t="n">
        <x:f>H10/SQRT(COUNT(C10:E10))</x:f>
        <x:v>0.0002603416558635585</x:v>
      </x:c>
      <x:c r="J10" s="14" t="n">
        <x:f>SQRT(I10^2+$D$25^2)</x:f>
        <x:v>0.00027888667551136164</x:v>
      </x:c>
      <x:c r="K10" s="14" t="n">
        <x:f>G10^2</x:f>
        <x:v>0.0653484011111111</x:v>
      </x:c>
      <x:c r="L10" s="14" t="n">
        <x:f>2*G10*J10</x:f>
        <x:v>0.00014258546096644216</x:v>
      </x:c>
    </x:row>
    <x:row r="11" ht="23" customHeight="1">
      <x:c r="A11" s="1" t="n">
        <x:v>6</x:v>
      </x:c>
      <x:c r="B11" s="1" t="n">
        <x:v>35</x:v>
      </x:c>
      <x:c r="C11" s="7" t="n">
        <x:v>0.274</x:v>
      </x:c>
      <x:c r="D11" s="7" t="n">
        <x:v>0.2743</x:v>
      </x:c>
      <x:c r="E11" s="7" t="n">
        <x:v>0.274</x:v>
      </x:c>
      <x:c r="F11" s="9" t="n">
        <x:f>B11/100</x:f>
        <x:v>0.35</x:v>
      </x:c>
      <x:c r="G11" s="10" t="n">
        <x:f>AVERAGE(C11:E11)</x:f>
        <x:v>0.2741</x:v>
      </x:c>
      <x:c r="H11" s="10" t="n">
        <x:f>_xlfn.STDEV.S(C11:E11)</x:f>
        <x:v>0.00017320508075686865</x:v>
      </x:c>
      <x:c r="I11" s="10" t="n">
        <x:f>H11/SQRT(COUNT(C11:E11))</x:f>
        <x:v>0.00009999999999998899</x:v>
      </x:c>
      <x:c r="J11" s="10" t="n">
        <x:f>SQRT(I11^2+$D$25^2)</x:f>
        <x:v>0.00014142135623730173</x:v>
      </x:c>
      <x:c r="K11" s="10" t="n">
        <x:f>G11^2</x:f>
        <x:v>0.07513081</x:v>
      </x:c>
      <x:c r="L11" s="10" t="n">
        <x:f>2*G11*J11</x:f>
        <x:v>0.00007752718748928882</x:v>
      </x:c>
    </x:row>
    <x:row r="12" ht="23" customHeight="1">
      <x:c r="A12" s="11" t="n">
        <x:v>7</x:v>
      </x:c>
      <x:c r="B12" s="11" t="n">
        <x:v>40</x:v>
      </x:c>
      <x:c r="C12" s="12" t="n">
        <x:v>0.2924</x:v>
      </x:c>
      <x:c r="D12" s="12" t="n">
        <x:v>0.2917</x:v>
      </x:c>
      <x:c r="E12" s="12" t="n">
        <x:v>0.2921</x:v>
      </x:c>
      <x:c r="F12" s="13" t="n">
        <x:f>B12/100</x:f>
        <x:v>0.4</x:v>
      </x:c>
      <x:c r="G12" s="14" t="n">
        <x:f>AVERAGE(C12:E12)</x:f>
        <x:v>0.2920666666666667</x:v>
      </x:c>
      <x:c r="H12" s="14" t="n">
        <x:f>_xlfn.STDEV.S(C12:E12)</x:f>
        <x:v>0.0003511884584284149</x:v>
      </x:c>
      <x:c r="I12" s="14" t="n">
        <x:f>H12/SQRT(COUNT(C12:E12))</x:f>
        <x:v>0.00020275875100993505</x:v>
      </x:c>
      <x:c r="J12" s="14" t="n">
        <x:f>SQRT(I12^2+$D$25^2)</x:f>
        <x:v>0.00022607766610417058</x:v>
      </x:c>
      <x:c r="K12" s="14" t="n">
        <x:f>G12^2</x:f>
        <x:v>0.0853029377777778</x:v>
      </x:c>
      <x:c r="L12" s="14" t="n">
        <x:f>2*G12*J12</x:f>
        <x:v>0.00013205950069364954</x:v>
      </x:c>
    </x:row>
    <x:row r="13" ht="23" customHeight="1">
      <x:c r="A13" s="1" t="n">
        <x:v>8</x:v>
      </x:c>
      <x:c r="B13" s="1" t="n">
        <x:v>45</x:v>
      </x:c>
      <x:c r="C13" s="7" t="n">
        <x:v>0.308</x:v>
      </x:c>
      <x:c r="D13" s="7" t="n">
        <x:v>0.3089</x:v>
      </x:c>
      <x:c r="E13" s="7" t="n">
        <x:v>0.3094</x:v>
      </x:c>
      <x:c r="F13" s="9" t="n">
        <x:f>B13/100</x:f>
        <x:v>0.45</x:v>
      </x:c>
      <x:c r="G13" s="10" t="n">
        <x:f>AVERAGE(C13:E13)</x:f>
        <x:v>0.3087666666666667</x:v>
      </x:c>
      <x:c r="H13" s="10" t="n">
        <x:f>_xlfn.STDEV.S(C13:E13)</x:f>
        <x:v>0.0007094598884597654</x:v>
      </x:c>
      <x:c r="I13" s="10" t="n">
        <x:f>H13/SQRT(COUNT(C13:E13))</x:f>
        <x:v>0.0004096068575814874</x:v>
      </x:c>
      <x:c r="J13" s="10" t="n">
        <x:f>SQRT(I13^2+$D$25^2)</x:f>
        <x:v>0.0004216370213557876</x:v>
      </x:c>
      <x:c r="K13" s="10" t="n">
        <x:f>G13^2</x:f>
        <x:v>0.09533685444444445</x:v>
      </x:c>
      <x:c r="L13" s="10" t="n">
        <x:f>2*G13*J13</x:f>
        <x:v>0.0002603749152545774</x:v>
      </x:c>
    </x:row>
    <x:row r="14" ht="23" customHeight="1">
      <x:c r="A14" s="11" t="n">
        <x:v>9</x:v>
      </x:c>
      <x:c r="B14" s="11" t="n">
        <x:v>50</x:v>
      </x:c>
      <x:c r="C14" s="12" t="n">
        <x:v>0.3249</x:v>
      </x:c>
      <x:c r="D14" s="12" t="n">
        <x:v>0.3247</x:v>
      </x:c>
      <x:c r="E14" s="12" t="n">
        <x:v>0.325</x:v>
      </x:c>
      <x:c r="F14" s="13" t="n">
        <x:f>B14/100</x:f>
        <x:v>0.5</x:v>
      </x:c>
      <x:c r="G14" s="14" t="n">
        <x:f>AVERAGE(C14:E14)</x:f>
        <x:v>0.32486666666666664</x:v>
      </x:c>
      <x:c r="H14" s="14" t="n">
        <x:f>_xlfn.STDEV.S(C14:E14)</x:f>
        <x:v>0.00015275252316520813</x:v>
      </x:c>
      <x:c r="I14" s="14" t="n">
        <x:f>H14/SQRT(COUNT(C14:E14))</x:f>
        <x:v>0.00008819171036882746</x:v>
      </x:c>
      <x:c r="J14" s="14" t="n">
        <x:f>SQRT(I14^2+$D$25^2)</x:f>
        <x:v>0.0001333333333333385</x:v>
      </x:c>
      <x:c r="K14" s="14" t="n">
        <x:f>G14^2</x:f>
        <x:v>0.1055383511111111</x:v>
      </x:c>
      <x:c r="L14" s="14" t="n">
        <x:f>2*G14*J14</x:f>
        <x:v>0.00008663111111111445</x:v>
      </x:c>
    </x:row>
    <x:row r="15" ht="23" customHeight="1">
      <x:c r="A15" s="1" t="n">
        <x:v>10</x:v>
      </x:c>
      <x:c r="B15" s="1" t="n">
        <x:v>55</x:v>
      </x:c>
      <x:c r="C15" s="7" t="n">
        <x:v>0.3397</x:v>
      </x:c>
      <x:c r="D15" s="7" t="n">
        <x:v>0.3405</x:v>
      </x:c>
      <x:c r="E15" s="7" t="n">
        <x:v>0.3408</x:v>
      </x:c>
      <x:c r="F15" s="9" t="n">
        <x:f>B15/100</x:f>
        <x:v>0.55</x:v>
      </x:c>
      <x:c r="G15" s="10" t="n">
        <x:f>AVERAGE(C15:E15)</x:f>
        <x:v>0.3403333333333333</x:v>
      </x:c>
      <x:c r="H15" s="10" t="n">
        <x:f>_xlfn.STDEV.S(C15:E15)</x:f>
        <x:v>0.0005686240703077319</x:v>
      </x:c>
      <x:c r="I15" s="10" t="n">
        <x:f>H15/SQRT(COUNT(C15:E15))</x:f>
        <x:v>0.0003282952600598697</x:v>
      </x:c>
      <x:c r="J15" s="10" t="n">
        <x:f>SQRT(I15^2+$D$25^2)</x:f>
        <x:v>0.0003431876713662329</x:v>
      </x:c>
      <x:c r="K15" s="10" t="n">
        <x:f>G15^2</x:f>
        <x:v>0.11582677777777776</x:v>
      </x:c>
      <x:c r="L15" s="10" t="n">
        <x:f>2*G15*J15</x:f>
        <x:v>0.0002335964083099492</x:v>
      </x:c>
    </x:row>
    <x:row r="16" ht="23" customHeight="1">
      <x:c r="A16" s="11" t="n">
        <x:v>11</x:v>
      </x:c>
      <x:c r="B16" s="11" t="n">
        <x:v>60</x:v>
      </x:c>
      <x:c r="C16" s="12" t="n">
        <x:v>0.3552</x:v>
      </x:c>
      <x:c r="D16" s="12" t="n">
        <x:v>0.3544</x:v>
      </x:c>
      <x:c r="E16" s="12" t="n">
        <x:v>0.355</x:v>
      </x:c>
      <x:c r="F16" s="13" t="n">
        <x:f>B16/100</x:f>
        <x:v>0.6</x:v>
      </x:c>
      <x:c r="G16" s="14" t="n">
        <x:f>AVERAGE(C16:E16)</x:f>
        <x:v>0.35486666666666666</x:v>
      </x:c>
      <x:c r="H16" s="14" t="n">
        <x:f>_xlfn.STDEV.S(C16:E16)</x:f>
        <x:v>0.00041633319989323403</x:v>
      </x:c>
      <x:c r="I16" s="14" t="n">
        <x:f>H16/SQRT(COUNT(C16:E16))</x:f>
        <x:v>0.00024037008503093697</x:v>
      </x:c>
      <x:c r="J16" s="14" t="n">
        <x:f>SQRT(I16^2+$D$25^2)</x:f>
        <x:v>0.00026034165586355913</x:v>
      </x:c>
      <x:c r="K16" s="14" t="n">
        <x:f>G16^2</x:f>
        <x:v>0.12593035111111112</x:v>
      </x:c>
      <x:c r="L16" s="14" t="n">
        <x:f>2*G16*J16</x:f>
        <x:v>0.00018477315122156338</x:v>
      </x:c>
    </x:row>
    <x:row r="17" ht="23" customHeight="1">
      <x:c r="A17" s="1" t="n">
        <x:v>12</x:v>
      </x:c>
      <x:c r="B17" s="1" t="n">
        <x:v>65</x:v>
      </x:c>
      <x:c r="C17" s="7" t="n">
        <x:v>0.3688</x:v>
      </x:c>
      <x:c r="D17" s="7" t="n">
        <x:v>0.3692</x:v>
      </x:c>
      <x:c r="E17" s="7" t="n">
        <x:v>0.3692</x:v>
      </x:c>
      <x:c r="F17" s="9" t="n">
        <x:f>B17/100</x:f>
        <x:v>0.65</x:v>
      </x:c>
      <x:c r="G17" s="10" t="n">
        <x:f>AVERAGE(C17:E17)</x:f>
        <x:v>0.36906666666666665</x:v>
      </x:c>
      <x:c r="H17" s="10" t="n">
        <x:f>_xlfn.STDEV.S(C17:E17)</x:f>
        <x:v>0.0002309401076758249</x:v>
      </x:c>
      <x:c r="I17" s="10" t="n">
        <x:f>H17/SQRT(COUNT(C17:E17))</x:f>
        <x:v>0.00013333333333331868</x:v>
      </x:c>
      <x:c r="J17" s="10" t="n">
        <x:f>SQRT(I17^2+$D$25^2)</x:f>
        <x:v>0.00016666666666665495</x:v>
      </x:c>
      <x:c r="K17" s="10" t="n">
        <x:f>G17^2</x:f>
        <x:v>0.13621020444444443</x:v>
      </x:c>
      <x:c r="L17" s="10" t="n">
        <x:f>2*G17*J17</x:f>
        <x:v>0.00012302222222221356</x:v>
      </x:c>
    </x:row>
    <x:row r="18" ht="23" customHeight="1">
      <x:c r="A18" s="11" t="n">
        <x:v>13</x:v>
      </x:c>
      <x:c r="B18" s="11" t="n">
        <x:v>70</x:v>
      </x:c>
      <x:c r="C18" s="12" t="n">
        <x:v>0.3825</x:v>
      </x:c>
      <x:c r="D18" s="12" t="n">
        <x:v>0.383</x:v>
      </x:c>
      <x:c r="E18" s="12" t="n">
        <x:v>0.3835</x:v>
      </x:c>
      <x:c r="F18" s="13" t="n">
        <x:f>B18/100</x:f>
        <x:v>0.7</x:v>
      </x:c>
      <x:c r="G18" s="14" t="n">
        <x:f>AVERAGE(C18:E18)</x:f>
        <x:v>0.383</x:v>
      </x:c>
      <x:c r="H18" s="14" t="n">
        <x:f>_xlfn.STDEV.S(C18:E18)</x:f>
        <x:v>0.0005000000000000004</x:v>
      </x:c>
      <x:c r="I18" s="14" t="n">
        <x:f>H18/SQRT(COUNT(C18:E18))</x:f>
        <x:v>0.00028867513459481317</x:v>
      </x:c>
      <x:c r="J18" s="14" t="n">
        <x:f>SQRT(I18^2+$D$25^2)</x:f>
        <x:v>0.0003055050463303896</x:v>
      </x:c>
      <x:c r="K18" s="14" t="n">
        <x:f>G18^2</x:f>
        <x:v>0.146689</x:v>
      </x:c>
      <x:c r="L18" s="14" t="n">
        <x:f>2*G18*J18</x:f>
        <x:v>0.0002340168654890784</x:v>
      </x:c>
    </x:row>
    <x:row r="19" ht="23" customHeight="1">
      <x:c r="A19" s="1" t="n">
        <x:v>14</x:v>
      </x:c>
      <x:c r="B19" s="1" t="n">
        <x:v>75</x:v>
      </x:c>
      <x:c r="C19" s="7" t="n">
        <x:v>0.3959</x:v>
      </x:c>
      <x:c r="D19" s="7" t="n">
        <x:v>0.3949</x:v>
      </x:c>
      <x:c r="E19" s="7" t="n">
        <x:v>0.3949</x:v>
      </x:c>
      <x:c r="F19" s="9" t="n">
        <x:f>B19/100</x:f>
        <x:v>0.75</x:v>
      </x:c>
      <x:c r="G19" s="10" t="n">
        <x:f>AVERAGE(C19:E19)</x:f>
        <x:v>0.3952333333333333</x:v>
      </x:c>
      <x:c r="H19" s="10" t="n">
        <x:f>_xlfn.STDEV.S(C19:E19)</x:f>
        <x:v>0.0005773502691896263</x:v>
      </x:c>
      <x:c r="I19" s="10" t="n">
        <x:f>H19/SQRT(COUNT(C19:E19))</x:f>
        <x:v>0.0003333333333333337</x:v>
      </x:c>
      <x:c r="J19" s="10" t="n">
        <x:f>SQRT(I19^2+$D$25^2)</x:f>
        <x:v>0.00034801021696368535</x:v>
      </x:c>
      <x:c r="K19" s="10" t="n">
        <x:f>G19^2</x:f>
        <x:v>0.15620938777777776</x:v>
      </x:c>
      <x:c r="L19" s="10" t="n">
        <x:f>2*G19*J19</x:f>
        <x:v>0.0002750904761692278</x:v>
      </x:c>
    </x:row>
    <x:row r="20" ht="23" customHeight="1">
      <x:c r="A20" s="11" t="n">
        <x:v>15</x:v>
      </x:c>
      <x:c r="B20" s="11" t="n">
        <x:v>80</x:v>
      </x:c>
      <x:c r="C20" s="12" t="n">
        <x:v>0.4076</x:v>
      </x:c>
      <x:c r="D20" s="12" t="n">
        <x:v>0.4073</x:v>
      </x:c>
      <x:c r="E20" s="12" t="n">
        <x:v>0.4078</x:v>
      </x:c>
      <x:c r="F20" s="13" t="n">
        <x:f>B20/100</x:f>
        <x:v>0.8</x:v>
      </x:c>
      <x:c r="G20" s="14" t="n">
        <x:f>AVERAGE(C20:E20)</x:f>
        <x:v>0.40756666666666663</x:v>
      </x:c>
      <x:c r="H20" s="14" t="n">
        <x:f>_xlfn.STDEV.S(C20:E20)</x:f>
        <x:v>0.00025166114784236</x:v>
      </x:c>
      <x:c r="I20" s="14" t="n">
        <x:f>H20/SQRT(COUNT(C20:E20))</x:f>
        <x:v>0.00014529663145135678</x:v>
      </x:c>
      <x:c r="J20" s="14" t="n">
        <x:f>SQRT(I20^2+$D$25^2)</x:f>
        <x:v>0.00017638342073764018</x:v>
      </x:c>
      <x:c r="K20" s="14" t="n">
        <x:f>G20^2</x:f>
        <x:v>0.16611058777777776</x:v>
      </x:c>
      <x:c r="L20" s="14" t="n">
        <x:f>2*G20*J20</x:f>
        <x:v>0.0001437760056906084</x:v>
      </x:c>
    </x:row>
    <x:row r="21" ht="23" customHeight="1">
      <x:c r="A21" s="1" t="n">
        <x:v>16</x:v>
      </x:c>
      <x:c r="B21" s="1" t="n">
        <x:v>85</x:v>
      </x:c>
      <x:c r="C21" s="7" t="n">
        <x:v>0.4202</x:v>
      </x:c>
      <x:c r="D21" s="7" t="n">
        <x:v>0.4207</x:v>
      </x:c>
      <x:c r="E21" s="7" t="n">
        <x:v>0.4209</x:v>
      </x:c>
      <x:c r="F21" s="9" t="n">
        <x:f>B21/100</x:f>
        <x:v>0.85</x:v>
      </x:c>
      <x:c r="G21" s="10" t="n">
        <x:f>AVERAGE(C21:E21)</x:f>
        <x:v>0.42060000000000003</x:v>
      </x:c>
      <x:c r="H21" s="10" t="n">
        <x:f>_xlfn.STDEV.S(C21:E21)</x:f>
        <x:v>0.00036055512754639</x:v>
      </x:c>
      <x:c r="I21" s="10" t="n">
        <x:f>H21/SQRT(COUNT(C21:E21))</x:f>
        <x:v>0.00020816659994660813</x:v>
      </x:c>
      <x:c r="J21" s="10" t="n">
        <x:f>SQRT(I21^2+$D$25^2)</x:f>
        <x:v>0.00023094010767584568</x:v>
      </x:c>
      <x:c r="K21" s="10" t="n">
        <x:f>G21^2</x:f>
        <x:v>0.17690436000000004</x:v>
      </x:c>
      <x:c r="L21" s="10" t="n">
        <x:f>2*G21*J21</x:f>
        <x:v>0.0001942668185769214</x:v>
      </x:c>
    </x:row>
    <x:row r="22" ht="23" customHeight="1">
      <x:c r="A22" s="11" t="n">
        <x:v>17</x:v>
      </x:c>
      <x:c r="B22" s="11" t="n">
        <x:v>90</x:v>
      </x:c>
      <x:c r="C22" s="12" t="n">
        <x:v>0.433</x:v>
      </x:c>
      <x:c r="D22" s="12" t="n">
        <x:v>0.4328</x:v>
      </x:c>
      <x:c r="E22" s="12" t="n">
        <x:v>0.4324</x:v>
      </x:c>
      <x:c r="F22" s="13" t="n">
        <x:f>B22/100</x:f>
        <x:v>0.9</x:v>
      </x:c>
      <x:c r="G22" s="14" t="n">
        <x:f>AVERAGE(C22:E22)</x:f>
        <x:v>0.43273333333333336</x:v>
      </x:c>
      <x:c r="H22" s="14" t="n">
        <x:f>_xlfn.STDEV.S(C22:E22)</x:f>
        <x:v>0.000305505046330386</x:v>
      </x:c>
      <x:c r="I22" s="14" t="n">
        <x:f>H22/SQRT(COUNT(C22:E22))</x:f>
        <x:v>0.00017638342073763745</x:v>
      </x:c>
      <x:c r="J22" s="14" t="n">
        <x:f>SQRT(I22^2+$D$25^2)</x:f>
        <x:v>0.00020275875100993898</x:v>
      </x:c>
      <x:c r="K22" s="14" t="n">
        <x:f>G22^2</x:f>
        <x:v>0.1872581377777778</x:v>
      </x:c>
      <x:c r="L22" s="14" t="n">
        <x:f>2*G22*J22</x:f>
        <x:v>0.00017548094037406854</x:v>
      </x:c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Incerteza instrumental (s)</x:v>
      </x:c>
      <x:c r="B25" s="1"/>
      <x:c r="C25" s="1"/>
      <x:c r="D25" s="8" t="n">
        <x:v>0.0001</x:v>
      </x:c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 t="str">
        <x:v>Altura sem incerteza considerada, conforme orientação do grupo.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 t="str">
        <x:v>A contribuição instrumental é combinada à incerteza da média, sem divisão adicional por √3.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1" hidden="0" customWidth="1"/>
    <x:col min="11" max="11" width="20" hidden="0" customWidth="1"/>
    <x:col min="12" max="12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EX03 — Ajuste logarítmico com incerteza no tempo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Modelo livre: Y = aX + b. Modelo com n = 2: Y = X/2 + b₂.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6" t="str">
        <x:v>X = ln(d/1 m)</x:v>
      </x:c>
      <x:c r="B5" s="6" t="str">
        <x:v>Y = ln(t/1 s)</x:v>
      </x:c>
      <x:c r="C5" s="6" t="str">
        <x:v>uY = u(t)/t</x:v>
      </x:c>
      <x:c r="D5" s="6" t="str">
        <x:v>w = 1/uY²</x:v>
      </x:c>
      <x:c r="E5" s="6" t="str">
        <x:v>wX</x:v>
      </x:c>
      <x:c r="F5" s="6" t="str">
        <x:v>wY</x:v>
      </x:c>
      <x:c r="G5" s="6" t="str">
        <x:v>wX²</x:v>
      </x:c>
      <x:c r="H5" s="6" t="str">
        <x:v>wXY</x:v>
      </x:c>
      <x:c r="I5" s="6" t="str">
        <x:v>w(Y − X/2)</x:v>
      </x:c>
      <x:c r="J5" s="1"/>
      <x:c r="K5" s="21" t="str">
        <x:v>χ² livre</x:v>
      </x:c>
      <x:c r="L5" s="21" t="str">
        <x:v>χ² n = 2</x:v>
      </x:c>
    </x:row>
    <x:row r="6" ht="23" customHeight="1">
      <x:c r="A6" s="14" t="n">
        <x:f>LN('Tratamento'!F6)</x:f>
        <x:v>-2.3025850929940455</x:v>
      </x:c>
      <x:c r="B6" s="14" t="n">
        <x:f>LN('Tratamento'!G6)</x:f>
        <x:v>-1.8468494355460148</x:v>
      </x:c>
      <x:c r="C6" s="14" t="n">
        <x:f>'Tratamento'!J6/'Tratamento'!G6</x:f>
        <x:v>0.0018055798278354782</x:v>
      </x:c>
      <x:c r="D6" s="16" t="n">
        <x:f>1/C6^2</x:f>
        <x:v>306737.3150684966</x:v>
      </x:c>
      <x:c r="E6" s="16" t="n">
        <x:f>D6*A6</x:f>
        <x:v>-706288.7691417381</x:v>
      </x:c>
      <x:c r="F6" s="16" t="n">
        <x:f>D6*B6</x:f>
        <x:v>-566497.637195153</x:v>
      </x:c>
      <x:c r="G6" s="16" t="n">
        <x:f>D6*A6^2</x:f>
        <x:v>1626289.9911748788</x:v>
      </x:c>
      <x:c r="H6" s="16" t="n">
        <x:f>D6*A6*B6</x:f>
        <x:v>1304409.0146219085</x:v>
      </x:c>
      <x:c r="I6" s="16" t="n">
        <x:f>D6*(B6-A6/2)</x:f>
        <x:v>-213353.252624284</x:v>
      </x:c>
      <x:c r="J6" s="1"/>
      <x:c r="K6" s="17" t="n">
        <x:f>((B6-$B$31*A6-$B$32)/C6)^2</x:f>
        <x:v>428.875840496398</x:v>
      </x:c>
      <x:c r="L6" s="17" t="n">
        <x:f>((B6-A6/2-$B$43)/C6)^2</x:f>
        <x:v>2052.7700055872365</x:v>
      </x:c>
    </x:row>
    <x:row r="7" ht="23" customHeight="1">
      <x:c r="A7" s="10" t="n">
        <x:f>LN('Tratamento'!F7)</x:f>
        <x:v>-1.8971199848858813</x:v>
      </x:c>
      <x:c r="B7" s="10" t="n">
        <x:f>LN('Tratamento'!G7)</x:f>
        <x:v>-1.67718156452062</x:v>
      </x:c>
      <x:c r="C7" s="10" t="n">
        <x:f>'Tratamento'!J7/'Tratamento'!G7</x:f>
        <x:v>0.0022060490238724893</x:v>
      </x:c>
      <x:c r="D7" s="15" t="n">
        <x:f>1/C7^2</x:f>
        <x:v>205480.05882352722</x:v>
      </x:c>
      <x:c r="E7" s="15" t="n">
        <x:f>D7*A7</x:f>
        <x:v>-389820.32608964</x:v>
      </x:c>
      <x:c r="F7" s="15" t="n">
        <x:f>D7*B7</x:f>
        <x:v>-344627.3665354324</x:v>
      </x:c>
      <x:c r="G7" s="15" t="n">
        <x:f>D7*A7^2</x:f>
        <x:v>739535.9311393871</x:v>
      </x:c>
      <x:c r="H7" s="15" t="n">
        <x:f>D7*A7*B7</x:f>
        <x:v>653799.4643929607</x:v>
      </x:c>
      <x:c r="I7" s="15" t="n">
        <x:f>D7*(B7-A7/2)</x:f>
        <x:v>-149717.20349061245</x:v>
      </x:c>
      <x:c r="J7" s="1"/>
      <x:c r="K7" s="17" t="n">
        <x:f>((B7-$B$31*A7-$B$32)/C7)^2</x:f>
        <x:v>44.61724788494386</x:v>
      </x:c>
      <x:c r="L7" s="17" t="n">
        <x:f>((B7-A7/2-$B$43)/C7)^2</x:f>
        <x:v>488.1686091645399</x:v>
      </x:c>
    </x:row>
    <x:row r="8" ht="23" customHeight="1">
      <x:c r="A8" s="14" t="n">
        <x:f>LN('Tratamento'!F8)</x:f>
        <x:v>-1.6094379124341003</x:v>
      </x:c>
      <x:c r="B8" s="14" t="n">
        <x:f>LN('Tratamento'!G8)</x:f>
        <x:v>-1.5522702393777592</x:v>
      </x:c>
      <x:c r="C8" s="14" t="n">
        <x:f>'Tratamento'!J8/'Tratamento'!G8</x:f>
        <x:v>0.001665827993744412</x:v>
      </x:c>
      <x:c r="D8" s="16" t="n">
        <x:f>1/C8^2</x:f>
        <x:v>360362.5803571505</x:v>
      </x:c>
      <x:c r="E8" s="16" t="n">
        <x:f>D8*A8</x:f>
        <x:v>-579981.199049378</x:v>
      </x:c>
      <x:c r="F8" s="16" t="n">
        <x:f>D8*B8</x:f>
        <x:v>-559380.108873781</x:v>
      </x:c>
      <x:c r="G8" s="16" t="n">
        <x:f>D8*A8^2</x:f>
        <x:v>933443.7302490574</x:v>
      </x:c>
      <x:c r="H8" s="16" t="n">
        <x:f>D8*A8*B8</x:f>
        <x:v>900287.5546829778</x:v>
      </x:c>
      <x:c r="I8" s="16" t="n">
        <x:f>D8*(B8-A8/2)</x:f>
        <x:v>-269389.509349092</x:v>
      </x:c>
      <x:c r="J8" s="1"/>
      <x:c r="K8" s="17" t="n">
        <x:f>((B8-$B$31*A8-$B$32)/C8)^2</x:f>
        <x:v>3.6679541481883766</x:v>
      </x:c>
      <x:c r="L8" s="17" t="n">
        <x:f>((B8-A8/2-$B$43)/C8)^2</x:f>
        <x:v>320.2725122960074</x:v>
      </x:c>
    </x:row>
    <x:row r="9" ht="23" customHeight="1">
      <x:c r="A9" s="10" t="n">
        <x:f>LN('Tratamento'!F9)</x:f>
        <x:v>-1.3862943611198906</x:v>
      </x:c>
      <x:c r="B9" s="10" t="n">
        <x:f>LN('Tratamento'!G9)</x:f>
        <x:v>-1.448169764837978</x:v>
      </x:c>
      <x:c r="C9" s="10" t="n">
        <x:f>'Tratamento'!J9/'Tratamento'!G9</x:f>
        <x:v>0.0006500107368731537</x:v>
      </x:c>
      <x:c r="D9" s="15" t="n">
        <x:f>1/C9^2</x:f>
        <x:v>2366785.7142858244</x:v>
      </x:c>
      <x:c r="E9" s="15" t="n">
        <x:f>D9*A9</x:f>
        <x:v>-3281061.689693551</x:v>
      </x:c>
      <x:c r="F9" s="15" t="n">
        <x:f>D9*B9</x:f>
        <x:v>-3427507.5112791886</x:v>
      </x:c>
      <x:c r="G9" s="15" t="n">
        <x:f>D9*A9^2</x:f>
        <x:v>4548517.31890867</x:v>
      </x:c>
      <x:c r="H9" s="15" t="n">
        <x:f>D9*A9*B9</x:f>
        <x:v>4751534.335582409</x:v>
      </x:c>
      <x:c r="I9" s="15" t="n">
        <x:f>D9*(B9-A9/2)</x:f>
        <x:v>-1786976.666432413</x:v>
      </x:c>
      <x:c r="J9" s="1"/>
      <x:c r="K9" s="17" t="n">
        <x:f>((B9-$B$31*A9-$B$32)/C9)^2</x:f>
        <x:v>4.9553554465147975</x:v>
      </x:c>
      <x:c r="L9" s="17" t="n">
        <x:f>((B9-A9/2-$B$43)/C9)^2</x:f>
        <x:v>1181.2707526954805</x:v>
      </x:c>
    </x:row>
    <x:row r="10" ht="23" customHeight="1">
      <x:c r="A10" s="14" t="n">
        <x:f>LN('Tratamento'!F10)</x:f>
        <x:v>-1.2039728043259361</x:v>
      </x:c>
      <x:c r="B10" s="14" t="n">
        <x:f>LN('Tratamento'!G10)</x:f>
        <x:v>-1.3640111528794332</x:v>
      </x:c>
      <x:c r="C10" s="14" t="n">
        <x:f>'Tratamento'!J10/'Tratamento'!G10</x:f>
        <x:v>0.0010909636543670425</x:v>
      </x:c>
      <x:c r="D10" s="16" t="n">
        <x:f>1/C10^2</x:f>
        <x:v>840193.7285714098</x:v>
      </x:c>
      <x:c r="E10" s="16" t="n">
        <x:f>D10*A10</x:f>
        <x:v>-1011570.3995651847</x:v>
      </x:c>
      <x:c r="F10" s="16" t="n">
        <x:f>D10*B10</x:f>
        <x:v>-1146033.6163507584</x:v>
      </x:c>
      <x:c r="G10" s="16" t="n">
        <x:f>D10*A10^2</x:f>
        <x:v>1217903.250737603</x:v>
      </x:c>
      <x:c r="H10" s="16" t="n">
        <x:f>D10*A10*B10</x:f>
        <x:v>1379793.3069296165</x:v>
      </x:c>
      <x:c r="I10" s="16" t="n">
        <x:f>D10*(B10-A10/2)</x:f>
        <x:v>-640248.416568166</x:v>
      </x:c>
      <x:c r="J10" s="1"/>
      <x:c r="K10" s="17" t="n">
        <x:f>((B10-$B$31*A10-$B$32)/C10)^2</x:f>
        <x:v>0.6435327233661616</x:v>
      </x:c>
      <x:c r="L10" s="17" t="n">
        <x:f>((B10-A10/2-$B$43)/C10)^2</x:f>
        <x:v>197.6708763237574</x:v>
      </x:c>
    </x:row>
    <x:row r="11" ht="23" customHeight="1">
      <x:c r="A11" s="10" t="n">
        <x:f>LN('Tratamento'!F11)</x:f>
        <x:v>-1.0498221244986778</x:v>
      </x:c>
      <x:c r="B11" s="10" t="n">
        <x:f>LN('Tratamento'!G11)</x:f>
        <x:v>-1.2942622756733968</x:v>
      </x:c>
      <x:c r="C11" s="10" t="n">
        <x:f>'Tratamento'!J11/'Tratamento'!G11</x:f>
        <x:v>0.0005159480344301413</x:v>
      </x:c>
      <x:c r="D11" s="15" t="n">
        <x:f>1/C11^2</x:f>
        <x:v>3756540.5000004135</x:v>
      </x:c>
      <x:c r="E11" s="15" t="n">
        <x:f>D11*A11</x:f>
        <x:v>-3943699.32847576</x:v>
      </x:c>
      <x:c r="F11" s="15" t="n">
        <x:f>D11*B11</x:f>
        <x:v>-4861948.656189815</x:v>
      </x:c>
      <x:c r="G11" s="15" t="n">
        <x:f>D11*A11^2</x:f>
        <x:v>4140182.807404431</x:v>
      </x:c>
      <x:c r="H11" s="15" t="n">
        <x:f>D11*A11*B11</x:f>
        <x:v>5104181.267444684</x:v>
      </x:c>
      <x:c r="I11" s="15" t="n">
        <x:f>D11*(B11-A11/2)</x:f>
        <x:v>-2890098.991951935</x:v>
      </x:c>
      <x:c r="J11" s="1"/>
      <x:c r="K11" s="17" t="n">
        <x:f>((B11-$B$31*A11-$B$32)/C11)^2</x:f>
        <x:v>67.6844727443981</x:v>
      </x:c>
      <x:c r="L11" s="17" t="n">
        <x:f>((B11-A11/2-$B$43)/C11)^2</x:f>
        <x:v>241.13994496260253</x:v>
      </x:c>
    </x:row>
    <x:row r="12" ht="23" customHeight="1">
      <x:c r="A12" s="14" t="n">
        <x:f>LN('Tratamento'!F12)</x:f>
        <x:v>-0.916290731874155</x:v>
      </x:c>
      <x:c r="B12" s="14" t="n">
        <x:f>LN('Tratamento'!G12)</x:f>
        <x:v>-1.2307731922704486</x:v>
      </x:c>
      <x:c r="C12" s="14" t="n">
        <x:f>'Tratamento'!J12/'Tratamento'!G12</x:f>
        <x:v>0.0007740618560973656</x:v>
      </x:c>
      <x:c r="D12" s="16" t="n">
        <x:f>1/C12^2</x:f>
        <x:v>1668970.5217392049</x:v>
      </x:c>
      <x:c r="E12" s="16" t="n">
        <x:f>D12*A12</x:f>
        <x:v>-1529262.2208408064</x:v>
      </x:c>
      <x:c r="F12" s="16" t="n">
        <x:f>D12*B12</x:f>
        <x:v>-2054124.1768462372</x:v>
      </x:c>
      <x:c r="G12" s="16" t="n">
        <x:f>D12*A12^2</x:f>
        <x:v>1401248.7995617182</x:v>
      </x:c>
      <x:c r="H12" s="16" t="n">
        <x:f>D12*A12*B12</x:f>
        <x:v>1882174.945362835</x:v>
      </x:c>
      <x:c r="I12" s="16" t="n">
        <x:f>D12*(B12-A12/2)</x:f>
        <x:v>-1289493.066425834</x:v>
      </x:c>
      <x:c r="J12" s="1"/>
      <x:c r="K12" s="17" t="n">
        <x:f>((B12-$B$31*A12-$B$32)/C12)^2</x:f>
        <x:v>27.9695140088014</x:v>
      </x:c>
      <x:c r="L12" s="17" t="n">
        <x:f>((B12-A12/2-$B$43)/C12)^2</x:f>
        <x:v>37.42469636769459</x:v>
      </x:c>
    </x:row>
    <x:row r="13" ht="23" customHeight="1">
      <x:c r="A13" s="10" t="n">
        <x:f>LN('Tratamento'!F13)</x:f>
        <x:v>-0.7985076962177716</x:v>
      </x:c>
      <x:c r="B13" s="10" t="n">
        <x:f>LN('Tratamento'!G13)</x:f>
        <x:v>-1.1751694113902649</x:v>
      </x:c>
      <x:c r="C13" s="10" t="n">
        <x:f>'Tratamento'!J13/'Tratamento'!G13</x:f>
        <x:v>0.0013655522660772565</x:v>
      </x:c>
      <x:c r="D13" s="15" t="n">
        <x:f>1/C13^2</x:f>
        <x:v>536269.8062499907</x:v>
      </x:c>
      <x:c r="E13" s="15" t="n">
        <x:f>D13*A13</x:f>
        <x:v>-428215.5675398308</x:v>
      </x:c>
      <x:c r="F13" s="15" t="n">
        <x:f>D13*B13</x:f>
        <x:v>-630207.872557173</x:v>
      </x:c>
      <x:c r="G13" s="15" t="n">
        <x:f>D13*A13^2</x:f>
        <x:v>341933.4263208159</x:v>
      </x:c>
      <x:c r="H13" s="15" t="n">
        <x:f>D13*A13*B13</x:f>
        <x:v>503225.8364539312</x:v>
      </x:c>
      <x:c r="I13" s="15" t="n">
        <x:f>D13*(B13-A13/2)</x:f>
        <x:v>-416100.0887872575</x:v>
      </x:c>
      <x:c r="J13" s="1"/>
      <x:c r="K13" s="17" t="n">
        <x:f>((B13-$B$31*A13-$B$32)/C13)^2</x:f>
        <x:v>10.185277226741373</x:v>
      </x:c>
      <x:c r="L13" s="17" t="n">
        <x:f>((B13-A13/2-$B$43)/C13)^2</x:f>
        <x:v>1.1238443258136215</x:v>
      </x:c>
    </x:row>
    <x:row r="14" ht="23" customHeight="1">
      <x:c r="A14" s="14" t="n">
        <x:f>LN('Tratamento'!F14)</x:f>
        <x:v>-0.6931471805599453</x:v>
      </x:c>
      <x:c r="B14" s="14" t="n">
        <x:f>LN('Tratamento'!G14)</x:f>
        <x:v>-1.124340437240841</x:v>
      </x:c>
      <x:c r="C14" s="14" t="n">
        <x:f>'Tratamento'!J14/'Tratamento'!G14</x:f>
        <x:v>0.0004104247896573112</x:v>
      </x:c>
      <x:c r="D14" s="16" t="n">
        <x:f>1/C14^2</x:f>
        <x:v>5936532.249999539</x:v>
      </x:c>
      <x:c r="E14" s="16" t="n">
        <x:f>D14*A14</x:f>
        <x:v>-4114890.5913903685</x:v>
      </x:c>
      <x:c r="F14" s="16" t="n">
        <x:f>D14*B14</x:f>
        <x:v>-6674683.265658835</x:v>
      </x:c>
      <x:c r="G14" s="16" t="n">
        <x:f>D14*A14^2</x:f>
        <x:v>2852224.81173488</x:v>
      </x:c>
      <x:c r="H14" s="16" t="n">
        <x:f>D14*A14*B14</x:f>
        <x:v>4626537.886722069</x:v>
      </x:c>
      <x:c r="I14" s="16" t="n">
        <x:f>D14*(B14-A14/2)</x:f>
        <x:v>-4617237.96996365</x:v>
      </x:c>
      <x:c r="J14" s="1"/>
      <x:c r="K14" s="17" t="n">
        <x:f>((B14-$B$31*A14-$B$32)/C14)^2</x:f>
        <x:v>72.92430767804267</x:v>
      </x:c>
      <x:c r="L14" s="17" t="n">
        <x:f>((B14-A14/2-$B$43)/C14)^2</x:f>
        <x:v>0.9672153539661686</x:v>
      </x:c>
    </x:row>
    <x:row r="15" ht="23" customHeight="1">
      <x:c r="A15" s="10" t="n">
        <x:f>LN('Tratamento'!F15)</x:f>
        <x:v>-0.5978370007556204</x:v>
      </x:c>
      <x:c r="B15" s="10" t="n">
        <x:f>LN('Tratamento'!G15)</x:f>
        <x:v>-1.0778297494855813</x:v>
      </x:c>
      <x:c r="C15" s="10" t="n">
        <x:f>'Tratamento'!J15/'Tratamento'!G15</x:f>
        <x:v>0.0010083868894208608</x:v>
      </x:c>
      <x:c r="D15" s="15" t="n">
        <x:f>1/C15^2</x:f>
        <x:v>983434.9056603797</x:v>
      </x:c>
      <x:c r="E15" s="15" t="n">
        <x:f>D15*A15</x:f>
        <x:v>-587933.774438388</x:v>
      </x:c>
      <x:c r="F15" s="15" t="n">
        <x:f>D15*B15</x:f>
        <x:v>-1059975.3980033032</x:v>
      </x:c>
      <x:c r="G15" s="15" t="n">
        <x:f>D15*A15^2</x:f>
        <x:v>351488.56435317727</x:v>
      </x:c>
      <x:c r="H15" s="15" t="n">
        <x:f>D15*A15*B15</x:f>
        <x:v>633692.51281704</x:v>
      </x:c>
      <x:c r="I15" s="15" t="n">
        <x:f>D15*(B15-A15/2)</x:f>
        <x:v>-766008.5107841094</x:v>
      </x:c>
      <x:c r="J15" s="1"/>
      <x:c r="K15" s="17" t="n">
        <x:f>((B15-$B$31*A15-$B$32)/C15)^2</x:f>
        <x:v>4.771648154728882</x:v>
      </x:c>
      <x:c r="L15" s="17" t="n">
        <x:f>((B15-A15/2-$B$43)/C15)^2</x:f>
        <x:v>2.3567400923171644</x:v>
      </x:c>
    </x:row>
    <x:row r="16" ht="23" customHeight="1">
      <x:c r="A16" s="14" t="n">
        <x:f>LN('Tratamento'!F16)</x:f>
        <x:v>-0.5108256237659907</x:v>
      </x:c>
      <x:c r="B16" s="14" t="n">
        <x:f>LN('Tratamento'!G16)</x:f>
        <x:v>-1.0360131469115896</x:v>
      </x:c>
      <x:c r="C16" s="14" t="n">
        <x:f>'Tratamento'!J16/'Tratamento'!G16</x:f>
        <x:v>0.0007336323197357481</x:v>
      </x:c>
      <x:c r="D16" s="16" t="n">
        <x:f>1/C16^2</x:f>
        <x:v>1857988.786885189</x:v>
      </x:c>
      <x:c r="E16" s="16" t="n">
        <x:f>D16*A16</x:f>
        <x:v>-949108.281010843</x:v>
      </x:c>
      <x:c r="F16" s="16" t="n">
        <x:f>D16*B16</x:f>
        <x:v>-1924900.8100273714</x:v>
      </x:c>
      <x:c r="G16" s="16" t="n">
        <x:f>D16*A16^2</x:f>
        <x:v>484828.8296688311</x:v>
      </x:c>
      <x:c r="H16" s="16" t="n">
        <x:f>D16*A16*B16</x:f>
        <x:v>983288.6569698928</x:v>
      </x:c>
      <x:c r="I16" s="16" t="n">
        <x:f>D16*(B16-A16/2)</x:f>
        <x:v>-1450346.66952195</x:v>
      </x:c>
      <x:c r="J16" s="1"/>
      <x:c r="K16" s="17" t="n">
        <x:f>((B16-$B$31*A16-$B$32)/C16)^2</x:f>
        <x:v>5.109486457073304</x:v>
      </x:c>
      <x:c r="L16" s="17" t="n">
        <x:f>((B16-A16/2-$B$43)/C16)^2</x:f>
        <x:v>19.469871949535854</x:v>
      </x:c>
    </x:row>
    <x:row r="17" ht="23" customHeight="1">
      <x:c r="A17" s="10" t="n">
        <x:f>LN('Tratamento'!F17)</x:f>
        <x:v>-0.4307829160924542</x:v>
      </x:c>
      <x:c r="B17" s="10" t="n">
        <x:f>LN('Tratamento'!G17)</x:f>
        <x:v>-0.9967779827868417</x:v>
      </x:c>
      <x:c r="C17" s="10" t="n">
        <x:f>'Tratamento'!J17/'Tratamento'!G17</x:f>
        <x:v>0.0004515895953756908</x:v>
      </x:c>
      <x:c r="D17" s="15" t="n">
        <x:f>1/C17^2</x:f>
        <x:v>4903567.360000689</x:v>
      </x:c>
      <x:c r="E17" s="15" t="n">
        <x:f>D17*A17</x:f>
        <x:v>-2112373.046596874</x:v>
      </x:c>
      <x:c r="F17" s="15" t="n">
        <x:f>D17*B17</x:f>
        <x:v>-4887767.981560885</x:v>
      </x:c>
      <x:c r="G17" s="15" t="n">
        <x:f>D17*A17^2</x:f>
        <x:v>909974.220888103</x:v>
      </x:c>
      <x:c r="H17" s="15" t="n">
        <x:f>D17*A17*B17</x:f>
        <x:v>2105566.944280127</x:v>
      </x:c>
      <x:c r="I17" s="15" t="n">
        <x:f>D17*(B17-A17/2)</x:f>
        <x:v>-3831581.4582624487</x:v>
      </x:c>
      <x:c r="J17" s="1"/>
      <x:c r="K17" s="17" t="n">
        <x:f>((B17-$B$31*A17-$B$32)/C17)^2</x:f>
        <x:v>0.7453844532125004</x:v>
      </x:c>
      <x:c r="L17" s="17" t="n">
        <x:f>((B17-A17/2-$B$43)/C17)^2</x:f>
        <x:v>79.37450221011882</x:v>
      </x:c>
    </x:row>
    <x:row r="18" ht="23" customHeight="1">
      <x:c r="A18" s="14" t="n">
        <x:f>LN('Tratamento'!F18)</x:f>
        <x:v>-0.35667494393873245</x:v>
      </x:c>
      <x:c r="B18" s="14" t="n">
        <x:f>LN('Tratamento'!G18)</x:f>
        <x:v>-0.959720289801491</x:v>
      </x:c>
      <x:c r="C18" s="14" t="n">
        <x:f>'Tratamento'!J18/'Tratamento'!G18</x:f>
        <x:v>0.0007976633063456647</x:v>
      </x:c>
      <x:c r="D18" s="16" t="n">
        <x:f>1/C18^2</x:f>
        <x:v>1571667.857142855</x:v>
      </x:c>
      <x:c r="E18" s="16" t="n">
        <x:f>D18*A18</x:f>
        <x:v>-560574.5448367356</x:v>
      </x:c>
      <x:c r="F18" s="16" t="n">
        <x:f>D18*B18</x:f>
        <x:v>-1508361.5313288292</x:v>
      </x:c>
      <x:c r="G18" s="16" t="n">
        <x:f>D18*A18^2</x:f>
        <x:v>199942.89435312312</x:v>
      </x:c>
      <x:c r="H18" s="16" t="n">
        <x:f>D18*A18*B18</x:f>
        <x:v>537994.7646260508</x:v>
      </x:c>
      <x:c r="I18" s="16" t="n">
        <x:f>D18*(B18-A18/2)</x:f>
        <x:v>-1228074.2589104613</x:v>
      </x:c>
      <x:c r="J18" s="1"/>
      <x:c r="K18" s="17" t="n">
        <x:f>((B18-$B$31*A18-$B$32)/C18)^2</x:f>
        <x:v>3.612605151901374</x:v>
      </x:c>
      <x:c r="L18" s="17" t="n">
        <x:f>((B18-A18/2-$B$43)/C18)^2</x:f>
        <x:v>25.39387584687617</x:v>
      </x:c>
    </x:row>
    <x:row r="19" ht="23" customHeight="1">
      <x:c r="A19" s="10" t="n">
        <x:f>LN('Tratamento'!F19)</x:f>
        <x:v>-0.2876820724517809</x:v>
      </x:c>
      <x:c r="B19" s="10" t="n">
        <x:f>LN('Tratamento'!G19)</x:f>
        <x:v>-0.9282789711862219</x:v>
      </x:c>
      <x:c r="C19" s="10" t="n">
        <x:f>'Tratamento'!J19/'Tratamento'!G19</x:f>
        <x:v>0.000880518386515186</x:v>
      </x:c>
      <x:c r="D19" s="15" t="n">
        <x:f>1/C19^2</x:f>
        <x:v>1289802.284403667</x:v>
      </x:c>
      <x:c r="E19" s="15" t="n">
        <x:f>D19*A19</x:f>
        <x:v>-371052.99423028826</x:v>
      </x:c>
      <x:c r="F19" s="15" t="n">
        <x:f>D19*B19</x:f>
        <x:v>-1197296.337599875</x:v>
      </x:c>
      <x:c r="G19" s="15" t="n">
        <x:f>D19*A19^2</x:f>
        <x:v>106745.29436960802</x:v>
      </x:c>
      <x:c r="H19" s="15" t="n">
        <x:f>D19*A19*B19</x:f>
        <x:v>344440.6917396591</x:v>
      </x:c>
      <x:c r="I19" s="15" t="n">
        <x:f>D19*(B19-A19/2)</x:f>
        <x:v>-1011769.8404847307</x:v>
      </x:c>
      <x:c r="J19" s="1"/>
      <x:c r="K19" s="17" t="n">
        <x:f>((B19-$B$31*A19-$B$32)/C19)^2</x:f>
        <x:v>0.06940613336102115</x:v>
      </x:c>
      <x:c r="L19" s="17" t="n">
        <x:f>((B19-A19/2-$B$43)/C19)^2</x:f>
        <x:v>64.55691195244513</x:v>
      </x:c>
    </x:row>
    <x:row r="20" ht="23" customHeight="1">
      <x:c r="A20" s="14" t="n">
        <x:f>LN('Tratamento'!F20)</x:f>
        <x:v>-0.2231435513142097</x:v>
      </x:c>
      <x:c r="B20" s="14" t="n">
        <x:f>LN('Tratamento'!G20)</x:f>
        <x:v>-0.8975507605001024</x:v>
      </x:c>
      <x:c r="C20" s="14" t="n">
        <x:f>'Tratamento'!J20/'Tratamento'!G20</x:f>
        <x:v>0.0004327719491395441</x:v>
      </x:c>
      <x:c r="D20" s="16" t="n">
        <x:f>1/C20^2</x:f>
        <x:v>5339268.892857092</x:v>
      </x:c>
      <x:c r="E20" s="16" t="n">
        <x:f>D20*A20</x:f>
        <x:v>-1191423.4221736202</x:v>
      </x:c>
      <x:c r="F20" s="16" t="n">
        <x:f>D20*B20</x:f>
        <x:v>-4792264.855298423</x:v>
      </x:c>
      <x:c r="G20" s="16" t="n">
        <x:f>D20*A20^2</x:f>
        <x:v>265858.45354275056</x:v>
      </x:c>
      <x:c r="H20" s="16" t="n">
        <x:f>D20*A20*B20</x:f>
        <x:v>1069362.9986495674</x:v>
      </x:c>
      <x:c r="I20" s="16" t="n">
        <x:f>D20*(B20-A20/2)</x:f>
        <x:v>-4196553.144211613</x:v>
      </x:c>
      <x:c r="J20" s="1"/>
      <x:c r="K20" s="17" t="n">
        <x:f>((B20-$B$31*A20-$B$32)/C20)^2</x:f>
        <x:v>0.6449990205804813</x:v>
      </x:c>
      <x:c r="L20" s="17" t="n">
        <x:f>((B20-A20/2-$B$43)/C20)^2</x:f>
        <x:v>396.3427086050605</x:v>
      </x:c>
    </x:row>
    <x:row r="21" ht="23" customHeight="1">
      <x:c r="A21" s="10" t="n">
        <x:f>LN('Tratamento'!F21)</x:f>
        <x:v>-0.16251892949777494</x:v>
      </x:c>
      <x:c r="B21" s="10" t="n">
        <x:f>LN('Tratamento'!G21)</x:f>
        <x:v>-0.8660730157135376</x:v>
      </x:c>
      <x:c r="C21" s="10" t="n">
        <x:f>'Tratamento'!J21/'Tratamento'!G21</x:f>
        <x:v>0.0005490730092150396</x:v>
      </x:c>
      <x:c r="D21" s="15" t="n">
        <x:f>1/C21^2</x:f>
        <x:v>3316956.7500001336</x:v>
      </x:c>
      <x:c r="E21" s="15" t="n">
        <x:f>D21*A21</x:f>
        <x:v>-539068.2602004404</x:v>
      </x:c>
      <x:c r="F21" s="15" t="n">
        <x:f>D21*B21</x:f>
        <x:v>-2872726.7354639904</x:v>
      </x:c>
      <x:c r="G21" s="15" t="n">
        <x:f>D21*A21^2</x:f>
        <x:v>87608.79657400357</x:v>
      </x:c>
      <x:c r="H21" s="15" t="n">
        <x:f>D21*A21*B21</x:f>
        <x:v>466872.4737872454</x:v>
      </x:c>
      <x:c r="I21" s="15" t="n">
        <x:f>D21*(B21-A21/2)</x:f>
        <x:v>-2603192.60536377</x:v>
      </x:c>
      <x:c r="J21" s="1"/>
      <x:c r="K21" s="17" t="n">
        <x:f>((B21-$B$31*A21-$B$32)/C21)^2</x:f>
        <x:v>31.245263103225316</x:v>
      </x:c>
      <x:c r="L21" s="17" t="n">
        <x:f>((B21-A21/2-$B$43)/C21)^2</x:f>
        <x:v>184.11643890720526</x:v>
      </x:c>
    </x:row>
    <x:row r="22" ht="23" customHeight="1">
      <x:c r="A22" s="14" t="n">
        <x:f>LN('Tratamento'!F22)</x:f>
        <x:v>-0.10536051565782628</x:v>
      </x:c>
      <x:c r="B22" s="14" t="n">
        <x:f>LN('Tratamento'!G22)</x:f>
        <x:v>-0.8376335990508785</x:v>
      </x:c>
      <x:c r="C22" s="14" t="n">
        <x:f>'Tratamento'!J22/'Tratamento'!G22</x:f>
        <x:v>0.0004685535765134932</x:v>
      </x:c>
      <x:c r="D22" s="16" t="n">
        <x:f>1/C22^2</x:f>
        <x:v>4554927.675675752</x:v>
      </x:c>
      <x:c r="E22" s="16" t="n">
        <x:f>D22*A22</x:f>
        <x:v>-479909.5286933013</x:v>
      </x:c>
      <x:c r="F22" s="16" t="n">
        <x:f>D22*B22</x:f>
        <x:v>-3815360.4623927325</x:v>
      </x:c>
      <x:c r="G22" s="16" t="n">
        <x:f>D22*A22^2</x:f>
        <x:v>50563.5154122306</x:v>
      </x:c>
      <x:c r="H22" s="16" t="n">
        <x:f>D22*A22*B22</x:f>
        <x:v>401988.34573818085</x:v>
      </x:c>
      <x:c r="I22" s="16" t="n">
        <x:f>D22*(B22-A22/2)</x:f>
        <x:v>-3575405.6980460817</x:v>
      </x:c>
      <x:c r="J22" s="1"/>
      <x:c r="K22" s="17" t="n">
        <x:f>((B22-$B$31*A22-$B$32)/C22)^2</x:f>
        <x:v>88.0468496980415</x:v>
      </x:c>
      <x:c r="L22" s="17" t="n">
        <x:f>((B22-A22/2-$B$43)/C22)^2</x:f>
        <x:v>262.41007527691653</x:v>
      </x:c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S</x:v>
      </x:c>
      <x:c r="B25" s="15" t="n">
        <x:f>SUM(D6:D22)</x:f>
        <x:v>39795486.98772131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SX</x:v>
      </x:c>
      <x:c r="B26" s="15" t="n">
        <x:f>SUM(E6:E22)</x:f>
        <x:v>-22776233.94396675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 t="str">
        <x:v>SY</x:v>
      </x:c>
      <x:c r="B27" s="15" t="n">
        <x:f>SUM(F6:F22)</x:f>
        <x:v>-42323664.32316179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 t="str">
        <x:v>SXX</x:v>
      </x:c>
      <x:c r="B28" s="15" t="n">
        <x:f>SUM(G6:G22)</x:f>
        <x:v>20258290.636393268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 t="str">
        <x:v>SXY</x:v>
      </x:c>
      <x:c r="B29" s="15" t="n">
        <x:f>SUM(H6:H22)</x:f>
        <x:v>27649151.000801157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 t="str">
        <x:v>Delta</x:v>
      </x:c>
      <x:c r="B30" s="15" t="n">
        <x:f>B25*B28-B26^2</x:f>
        <x:v>287431708743761.56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 t="str">
        <x:v>a</x:v>
      </x:c>
      <x:c r="B31" s="15" t="n">
        <x:f>(B25*B29-B26*B27)/B30</x:f>
        <x:v>0.47433092709062874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 t="str">
        <x:v>b</x:v>
      </x:c>
      <x:c r="B32" s="15" t="n">
        <x:f>(B28*B27-B26*B29)/B30</x:f>
        <x:v>-0.7920544400075412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 t="str">
        <x:v>u(a)</x:v>
      </x:c>
      <x:c r="B33" s="15" t="n">
        <x:f>SQRT(B25/B30)</x:f>
        <x:v>0.00037209134945176815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 t="str">
        <x:v>u(b)</x:v>
      </x:c>
      <x:c r="B34" s="15" t="n">
        <x:f>SQRT(B28/B30)</x:f>
        <x:v>0.0002654813762651496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 t="str">
        <x:v>cov(a,b)</x:v>
      </x:c>
      <x:c r="B35" s="15" t="n">
        <x:f>-B26/B30</x:f>
        <x:v>7.924050566136812e-8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 t="str">
        <x:v>n = 1/a</x:v>
      </x:c>
      <x:c r="B36" s="15" t="n">
        <x:f>1/B31</x:f>
        <x:v>2.1082327608988765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 t="str">
        <x:v>u(n)</x:v>
      </x:c>
      <x:c r="B37" s="15" t="n">
        <x:f>B33/B31^2</x:f>
        <x:v>0.001653814095093586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 t="str">
        <x:v>C (m)</x:v>
      </x:c>
      <x:c r="B38" s="15" t="n">
        <x:f>EXP(-B32/B31)</x:f>
        <x:v>5.31129199299279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 t="str">
        <x:v>u(C) (m)</x:v>
      </x:c>
      <x:c r="B39" s="15" t="n">
        <x:f>B38*SQRT((B32/B31^2)^2*B33^2+(1/B31)^2*B34^2-2*B32/B31^3*B35)</x:f>
        <x:v>0.009509059317701405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 t="str">
        <x:v>χ² livre</x:v>
      </x:c>
      <x:c r="B40" s="15" t="n">
        <x:f>SUM(K6:K22)</x:f>
        <x:v>795.7691445295189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 t="str">
        <x:v>χ²/15 livre</x:v>
      </x:c>
      <x:c r="B41" s="15" t="n">
        <x:f>B40/15</x:f>
        <x:v>53.05127630196793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/>
      <x:c r="B42" s="15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 t="str">
        <x:v>b₂ (a = 1/2)</x:v>
      </x:c>
      <x:c r="B43" s="15" t="n">
        <x:f>SUM(I6:I22)/B25</x:f>
        <x:v>-0.7773632060520685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 t="str">
        <x:v>u(b₂)</x:v>
      </x:c>
      <x:c r="B44" s="15" t="n">
        <x:f>1/SQRT(B25)</x:f>
        <x:v>0.00015851964394285073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 t="str">
        <x:v>g por ln (m/s²)</x:v>
      </x:c>
      <x:c r="B45" s="15" t="n">
        <x:f>2*EXP(-2*B43)</x:f>
        <x:v>9.467582479991053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 t="str">
        <x:v>u(g) formal</x:v>
      </x:c>
      <x:c r="B46" s="15" t="n">
        <x:f>2*B45*B44</x:f>
        <x:v>0.003001595607455507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 t="str">
        <x:v>χ² com n = 2</x:v>
      </x:c>
      <x:c r="B47" s="15" t="n">
        <x:f>SUM(L6:L22)</x:f>
        <x:v>5554.829581917572</x:v>
      </x:c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 t="str">
        <x:v>χ²/16 com n = 2</x:v>
      </x:c>
      <x:c r="B48" s="15" t="n">
        <x:f>B47/16</x:f>
        <x:v>347.17684886984824</x:v>
      </x:c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1" max="11" width="20" hidden="0" customWidth="1"/>
    <x:col min="12" max="12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EX03 — Ajuste de t² em função da altura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Origem: t² = a₀d. Diagnóstico: t² = ad + b. Em ambos, g = 2/a.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6" t="str">
        <x:v>d (m)</x:v>
      </x:c>
      <x:c r="B5" s="6" t="str">
        <x:v>t² (s²)</x:v>
      </x:c>
      <x:c r="C5" s="6" t="str">
        <x:v>u(t²) (s²)</x:v>
      </x:c>
      <x:c r="D5" s="6" t="str">
        <x:v>w = 1/u²</x:v>
      </x:c>
      <x:c r="E5" s="6" t="str">
        <x:v>wd</x:v>
      </x:c>
      <x:c r="F5" s="6" t="str">
        <x:v>wt²</x:v>
      </x:c>
      <x:c r="G5" s="6" t="str">
        <x:v>wd²</x:v>
      </x:c>
      <x:c r="H5" s="6" t="str">
        <x:v>wdt²</x:v>
      </x:c>
      <x:c r="I5" s="6" t="str">
        <x:v>χ² origem</x:v>
      </x:c>
      <x:c r="J5" s="1"/>
      <x:c r="K5" s="21" t="str">
        <x:v>χ² livre</x:v>
      </x:c>
      <x:c r="L5" s="21"/>
    </x:row>
    <x:row r="6" ht="23" customHeight="1">
      <x:c r="A6" s="14" t="n">
        <x:f>'Tratamento'!F6</x:f>
        <x:v>0.1</x:v>
      </x:c>
      <x:c r="B6" s="14" t="n">
        <x:f>'Tratamento'!K6</x:f>
        <x:v>0.024879804444444455</x:v>
      </x:c>
      <x:c r="C6" s="14" t="n">
        <x:f>'Tratamento'!L6</x:f>
        <x:v>0.00008984494605076078</x:v>
      </x:c>
      <x:c r="D6" s="16" t="n">
        <x:f>1/C6^2</x:f>
        <x:v>123883280.01951759</x:v>
      </x:c>
      <x:c r="E6" s="16" t="n">
        <x:f>D6*A6</x:f>
        <x:v>12388328.00195176</x:v>
      </x:c>
      <x:c r="F6" s="16" t="n">
        <x:f>D6*B6</x:f>
        <x:v>3082191.7808219506</x:v>
      </x:c>
      <x:c r="G6" s="16" t="n">
        <x:f>D6*A6^2</x:f>
        <x:v>1238832.8001951762</x:v>
      </x:c>
      <x:c r="H6" s="16" t="n">
        <x:f>D6*A6*B6</x:f>
        <x:v>308219.1780821951</x:v>
      </x:c>
      <x:c r="I6" s="16" t="n">
        <x:f>((B6-$B$31*A6)/C6)^2</x:f>
        <x:v>1762.3534156181815</x:v>
      </x:c>
      <x:c r="J6" s="1"/>
      <x:c r="K6" s="17" t="n">
        <x:f>((B6-$B$38*A6-$B$39)/C6)^2</x:f>
        <x:v>2.8325524511705775</x:v>
      </x:c>
      <x:c r="L6" s="17"/>
    </x:row>
    <x:row r="7" ht="23" customHeight="1">
      <x:c r="A7" s="10" t="n">
        <x:f>'Tratamento'!F7</x:f>
        <x:v>0.15</x:v>
      </x:c>
      <x:c r="B7" s="10" t="n">
        <x:f>'Tratamento'!K7</x:f>
        <x:v>0.034931609999999995</x:v>
      </x:c>
      <x:c r="C7" s="10" t="n">
        <x:f>'Tratamento'!L7</x:f>
        <x:v>0.00015412168828558893</x:v>
      </x:c>
      <x:c r="D7" s="15" t="n">
        <x:f>1/C7^2</x:f>
        <x:v>42099068.302151054</x:v>
      </x:c>
      <x:c r="E7" s="15" t="n">
        <x:f>D7*A7</x:f>
        <x:v>6314860.245322658</x:v>
      </x:c>
      <x:c r="F7" s="15" t="n">
        <x:f>D7*B7</x:f>
        <x:v>1470588.2352941025</x:v>
      </x:c>
      <x:c r="G7" s="15" t="n">
        <x:f>D7*A7^2</x:f>
        <x:v>947229.0367983987</x:v>
      </x:c>
      <x:c r="H7" s="15" t="n">
        <x:f>D7*A7*B7</x:f>
        <x:v>220588.23529411538</x:v>
      </x:c>
      <x:c r="I7" s="15" t="n">
        <x:f>((B7-$B$31*A7)/C7)^2</x:f>
        <x:v>450.02143154913034</x:v>
      </x:c>
      <x:c r="J7" s="1"/>
      <x:c r="K7" s="17" t="n">
        <x:f>((B7-$B$38*A7-$B$39)/C7)^2</x:f>
        <x:v>0.26858094816503636</x:v>
      </x:c>
      <x:c r="L7" s="17"/>
    </x:row>
    <x:row r="8" ht="23" customHeight="1">
      <x:c r="A8" s="14" t="n">
        <x:f>'Tratamento'!F8</x:f>
        <x:v>0.2</x:v>
      </x:c>
      <x:c r="B8" s="14" t="n">
        <x:f>'Tratamento'!K8</x:f>
        <x:v>0.04484512111111111</x:v>
      </x:c>
      <x:c r="C8" s="14" t="n">
        <x:f>'Tratamento'!L8</x:f>
        <x:v>0.00014940851625949478</x:v>
      </x:c>
      <x:c r="D8" s="16" t="n">
        <x:f>1/C8^2</x:f>
        <x:v>44797037.484884165</x:v>
      </x:c>
      <x:c r="E8" s="16" t="n">
        <x:f>D8*A8</x:f>
        <x:v>8959407.496976834</x:v>
      </x:c>
      <x:c r="F8" s="16" t="n">
        <x:f>D8*B8</x:f>
        <x:v>2008928.5714286144</x:v>
      </x:c>
      <x:c r="G8" s="16" t="n">
        <x:f>D8*A8^2</x:f>
        <x:v>1791881.499395367</x:v>
      </x:c>
      <x:c r="H8" s="16" t="n">
        <x:f>D8*A8*B8</x:f>
        <x:v>401785.71428572293</x:v>
      </x:c>
      <x:c r="I8" s="16" t="n">
        <x:f>((B8-$B$31*A8)/C8)^2</x:f>
        <x:v>309.6126914528492</x:v>
      </x:c>
      <x:c r="J8" s="1"/>
      <x:c r="K8" s="17" t="n">
        <x:f>((B8-$B$38*A8-$B$39)/C8)^2</x:f>
        <x:v>0.7542618460758511</x:v>
      </x:c>
      <x:c r="L8" s="17"/>
    </x:row>
    <x:row r="9" ht="23" customHeight="1">
      <x:c r="A9" s="10" t="n">
        <x:f>'Tratamento'!F9</x:f>
        <x:v>0.25</x:v>
      </x:c>
      <x:c r="B9" s="10" t="n">
        <x:f>'Tratamento'!K9</x:f>
        <x:v>0.055224999999999996</x:v>
      </x:c>
      <x:c r="C9" s="10" t="n">
        <x:f>'Tratamento'!L9</x:f>
        <x:v>0.00007179368588763981</x:v>
      </x:c>
      <x:c r="D9" s="15" t="n">
        <x:f>1/C9^2</x:f>
        <x:v>194011511.34968248</x:v>
      </x:c>
      <x:c r="E9" s="15" t="n">
        <x:f>D9*A9</x:f>
        <x:v>48502877.83742062</x:v>
      </x:c>
      <x:c r="F9" s="15" t="n">
        <x:f>D9*B9</x:f>
        <x:v>10714285.714286214</x:v>
      </x:c>
      <x:c r="G9" s="15" t="n">
        <x:f>D9*A9^2</x:f>
        <x:v>12125719.459355155</x:v>
      </x:c>
      <x:c r="H9" s="15" t="n">
        <x:f>D9*A9*B9</x:f>
        <x:v>2678571.4285715534</x:v>
      </x:c>
      <x:c r="I9" s="15" t="n">
        <x:f>((B9-$B$31*A9)/C9)^2</x:f>
        <x:v>1169.1258143371465</x:v>
      </x:c>
      <x:c r="J9" s="1"/>
      <x:c r="K9" s="17" t="n">
        <x:f>((B9-$B$38*A9-$B$39)/C9)^2</x:f>
        <x:v>3.128086479911617</x:v>
      </x:c>
      <x:c r="L9" s="17"/>
    </x:row>
    <x:row r="10" ht="23" customHeight="1">
      <x:c r="A10" s="14" t="n">
        <x:f>'Tratamento'!F10</x:f>
        <x:v>0.3</x:v>
      </x:c>
      <x:c r="B10" s="14" t="n">
        <x:f>'Tratamento'!K10</x:f>
        <x:v>0.0653484011111111</x:v>
      </x:c>
      <x:c r="C10" s="14" t="n">
        <x:f>'Tratamento'!L10</x:f>
        <x:v>0.00014258546096644216</x:v>
      </x:c>
      <x:c r="D10" s="16" t="n">
        <x:f>1/C10^2</x:f>
        <x:v>49186906.789355576</x:v>
      </x:c>
      <x:c r="E10" s="16" t="n">
        <x:f>D10*A10</x:f>
        <x:v>14756072.036806673</x:v>
      </x:c>
      <x:c r="F10" s="16" t="n">
        <x:f>D10*B10</x:f>
        <x:v>3214285.7142856424</x:v>
      </x:c>
      <x:c r="G10" s="16" t="n">
        <x:f>D10*A10^2</x:f>
        <x:v>4426821.611042001</x:v>
      </x:c>
      <x:c r="H10" s="16" t="n">
        <x:f>D10*A10*B10</x:f>
        <x:v>964285.7142856927</x:v>
      </x:c>
      <x:c r="I10" s="16" t="n">
        <x:f>((B10-$B$31*A10)/C10)^2</x:f>
        <x:v>201.53100944940314</x:v>
      </x:c>
      <x:c r="J10" s="1"/>
      <x:c r="K10" s="17" t="n">
        <x:f>((B10-$B$38*A10-$B$39)/C10)^2</x:f>
        <x:v>0.7962772215421362</x:v>
      </x:c>
      <x:c r="L10" s="17"/>
    </x:row>
    <x:row r="11" ht="23" customHeight="1">
      <x:c r="A11" s="10" t="n">
        <x:f>'Tratamento'!F11</x:f>
        <x:v>0.35</x:v>
      </x:c>
      <x:c r="B11" s="10" t="n">
        <x:f>'Tratamento'!K11</x:f>
        <x:v>0.07513081</x:v>
      </x:c>
      <x:c r="C11" s="10" t="n">
        <x:f>'Tratamento'!L11</x:f>
        <x:v>0.00007752718748928882</x:v>
      </x:c>
      <x:c r="D11" s="15" t="n">
        <x:f>1/C11^2</x:f>
        <x:v>166376483.89524046</x:v>
      </x:c>
      <x:c r="E11" s="15" t="n">
        <x:f>D11*A11</x:f>
        <x:v>58231769.36333416</x:v>
      </x:c>
      <x:c r="F11" s="15" t="n">
        <x:f>D11*B11</x:f>
        <x:v>12500000.00000137</x:v>
      </x:c>
      <x:c r="G11" s="15" t="n">
        <x:f>D11*A11^2</x:f>
        <x:v>20381119.27716695</x:v>
      </x:c>
      <x:c r="H11" s="15" t="n">
        <x:f>D11*A11*B11</x:f>
        <x:v>4375000.00000048</x:v>
      </x:c>
      <x:c r="I11" s="15" t="n">
        <x:f>((B11-$B$31*A11)/C11)^2</x:f>
        <x:v>261.0191618692277</x:v>
      </x:c>
      <x:c r="J11" s="1"/>
      <x:c r="K11" s="17" t="n">
        <x:f>((B11-$B$38*A11-$B$39)/C11)^2</x:f>
        <x:v>7.583737807436109</x:v>
      </x:c>
      <x:c r="L11" s="17"/>
    </x:row>
    <x:row r="12" ht="23" customHeight="1">
      <x:c r="A12" s="14" t="n">
        <x:f>'Tratamento'!F12</x:f>
        <x:v>0.4</x:v>
      </x:c>
      <x:c r="B12" s="14" t="n">
        <x:f>'Tratamento'!K12</x:f>
        <x:v>0.0853029377777778</x:v>
      </x:c>
      <x:c r="C12" s="14" t="n">
        <x:f>'Tratamento'!L12</x:f>
        <x:v>0.00013205950069364954</x:v>
      </x:c>
      <x:c r="D12" s="16" t="n">
        <x:f>1/C12^2</x:f>
        <x:v>57340397.35616859</x:v>
      </x:c>
      <x:c r="E12" s="16" t="n">
        <x:f>D12*A12</x:f>
        <x:v>22936158.942467436</x:v>
      </x:c>
      <x:c r="F12" s="16" t="n">
        <x:f>D12*B12</x:f>
        <x:v>4891304.347826304</x:v>
      </x:c>
      <x:c r="G12" s="16" t="n">
        <x:f>D12*A12^2</x:f>
        <x:v>9174463.576986976</x:v>
      </x:c>
      <x:c r="H12" s="16" t="n">
        <x:f>D12*A12*B12</x:f>
        <x:v>1956521.7391305214</x:v>
      </x:c>
      <x:c r="I12" s="16" t="n">
        <x:f>((B12-$B$31*A12)/C12)^2</x:f>
        <x:v>43.46329281394272</x:v>
      </x:c>
      <x:c r="J12" s="1"/>
      <x:c r="K12" s="17" t="n">
        <x:f>((B12-$B$38*A12-$B$39)/C12)^2</x:f>
        <x:v>1.5519131131334227</x:v>
      </x:c>
      <x:c r="L12" s="17"/>
    </x:row>
    <x:row r="13" ht="23" customHeight="1">
      <x:c r="A13" s="10" t="n">
        <x:f>'Tratamento'!F13</x:f>
        <x:v>0.45</x:v>
      </x:c>
      <x:c r="B13" s="10" t="n">
        <x:f>'Tratamento'!K13</x:f>
        <x:v>0.09533685444444445</x:v>
      </x:c>
      <x:c r="C13" s="10" t="n">
        <x:f>'Tratamento'!L13</x:f>
        <x:v>0.0002603749152545774</x:v>
      </x:c>
      <x:c r="D13" s="15" t="n">
        <x:f>1/C13^2</x:f>
        <x:v>14750329.326414246</x:v>
      </x:c>
      <x:c r="E13" s="15" t="n">
        <x:f>D13*A13</x:f>
        <x:v>6637648.196886411</x:v>
      </x:c>
      <x:c r="F13" s="15" t="n">
        <x:f>D13*B13</x:f>
        <x:v>1406249.9999999753</x:v>
      </x:c>
      <x:c r="G13" s="15" t="n">
        <x:f>D13*A13^2</x:f>
        <x:v>2986941.688598885</x:v>
      </x:c>
      <x:c r="H13" s="15" t="n">
        <x:f>D13*A13*B13</x:f>
        <x:v>632812.4999999889</x:v>
      </x:c>
      <x:c r="I13" s="15" t="n">
        <x:f>((B13-$B$31*A13)/C13)^2</x:f>
        <x:v>1.8121042491954265</x:v>
      </x:c>
      <x:c r="J13" s="1"/>
      <x:c r="K13" s="17" t="n">
        <x:f>((B13-$B$38*A13-$B$39)/C13)^2</x:f>
        <x:v>0.9496892265632053</x:v>
      </x:c>
      <x:c r="L13" s="17"/>
    </x:row>
    <x:row r="14" ht="23" customHeight="1">
      <x:c r="A14" s="14" t="n">
        <x:f>'Tratamento'!F14</x:f>
        <x:v>0.5</x:v>
      </x:c>
      <x:c r="B14" s="14" t="n">
        <x:f>'Tratamento'!K14</x:f>
        <x:v>0.1055383511111111</x:v>
      </x:c>
      <x:c r="C14" s="14" t="n">
        <x:f>'Tratamento'!L14</x:f>
        <x:v>0.00008663111111111445</x:v>
      </x:c>
      <x:c r="D14" s="16" t="n">
        <x:f>1/C14^2</x:f>
        <x:v>133245401.80842763</x:v>
      </x:c>
      <x:c r="E14" s="16" t="n">
        <x:f>D14*A14</x:f>
        <x:v>66622700.904213816</x:v>
      </x:c>
      <x:c r="F14" s="16" t="n">
        <x:f>D14*B14</x:f>
        <x:v>14062499.999998912</x:v>
      </x:c>
      <x:c r="G14" s="16" t="n">
        <x:f>D14*A14^2</x:f>
        <x:v>33311350.452106908</x:v>
      </x:c>
      <x:c r="H14" s="16" t="n">
        <x:f>D14*A14*B14</x:f>
        <x:v>7031249.999999456</x:v>
      </x:c>
      <x:c r="I14" s="16" t="n">
        <x:f>((B14-$B$31*A14)/C14)^2</x:f>
        <x:v>0.0005546701527179951</x:v>
      </x:c>
      <x:c r="J14" s="1"/>
      <x:c r="K14" s="17" t="n">
        <x:f>((B14-$B$38*A14-$B$39)/C14)^2</x:f>
        <x:v>4.098705580743886</x:v>
      </x:c>
      <x:c r="L14" s="17"/>
    </x:row>
    <x:row r="15" ht="23" customHeight="1">
      <x:c r="A15" s="10" t="n">
        <x:f>'Tratamento'!F15</x:f>
        <x:v>0.55</x:v>
      </x:c>
      <x:c r="B15" s="10" t="n">
        <x:f>'Tratamento'!K15</x:f>
        <x:v>0.11582677777777776</x:v>
      </x:c>
      <x:c r="C15" s="10" t="n">
        <x:f>'Tratamento'!L15</x:f>
        <x:v>0.0002335964083099492</x:v>
      </x:c>
      <x:c r="D15" s="15" t="n">
        <x:f>1/C15^2</x:f>
        <x:v>18325999.826278616</x:v>
      </x:c>
      <x:c r="E15" s="15" t="n">
        <x:f>D15*A15</x:f>
        <x:v>10079299.90445324</x:v>
      </x:c>
      <x:c r="F15" s="15" t="n">
        <x:f>D15*B15</x:f>
        <x:v>2122641.509433967</x:v>
      </x:c>
      <x:c r="G15" s="15" t="n">
        <x:f>D15*A15^2</x:f>
        <x:v>5543614.947449282</x:v>
      </x:c>
      <x:c r="H15" s="15" t="n">
        <x:f>D15*A15*B15</x:f>
        <x:v>1167452.830188682</x:v>
      </x:c>
      <x:c r="I15" s="15" t="n">
        <x:f>((B15-$B$31*A15)/C15)^2</x:f>
        <x:v>1.3128379768348812</x:v>
      </x:c>
      <x:c r="J15" s="1"/>
      <x:c r="K15" s="17" t="n">
        <x:f>((B15-$B$38*A15-$B$39)/C15)^2</x:f>
        <x:v>0.0018706623130255804</x:v>
      </x:c>
      <x:c r="L15" s="17"/>
    </x:row>
    <x:row r="16" ht="23" customHeight="1">
      <x:c r="A16" s="14" t="n">
        <x:f>'Tratamento'!F16</x:f>
        <x:v>0.6</x:v>
      </x:c>
      <x:c r="B16" s="14" t="n">
        <x:f>'Tratamento'!K16</x:f>
        <x:v>0.12593035111111112</x:v>
      </x:c>
      <x:c r="C16" s="14" t="n">
        <x:f>'Tratamento'!L16</x:f>
        <x:v>0.00018477315122156338</x:v>
      </x:c>
      <x:c r="D16" s="16" t="n">
        <x:f>1/C16^2</x:f>
        <x:v>29290195.39466983</x:v>
      </x:c>
      <x:c r="E16" s="16" t="n">
        <x:f>D16*A16</x:f>
        <x:v>17574117.236801896</x:v>
      </x:c>
      <x:c r="F16" s="16" t="n">
        <x:f>D16*B16</x:f>
        <x:v>3688524.590163822</x:v>
      </x:c>
      <x:c r="G16" s="16" t="n">
        <x:f>D16*A16^2</x:f>
        <x:v>10544470.342081139</x:v>
      </x:c>
      <x:c r="H16" s="16" t="n">
        <x:f>D16*A16*B16</x:f>
        <x:v>2213114.754098293</x:v>
      </x:c>
      <x:c r="I16" s="16" t="n">
        <x:f>((B16-$B$31*A16)/C16)^2</x:f>
        <x:v>15.104786104849477</x:v>
      </x:c>
      <x:c r="J16" s="1"/>
      <x:c r="K16" s="17" t="n">
        <x:f>((B16-$B$38*A16-$B$39)/C16)^2</x:f>
        <x:v>0.02578967537114402</x:v>
      </x:c>
      <x:c r="L16" s="17"/>
    </x:row>
    <x:row r="17" ht="23" customHeight="1">
      <x:c r="A17" s="10" t="n">
        <x:f>'Tratamento'!F17</x:f>
        <x:v>0.65</x:v>
      </x:c>
      <x:c r="B17" s="10" t="n">
        <x:f>'Tratamento'!K17</x:f>
        <x:v>0.13621020444444443</x:v>
      </x:c>
      <x:c r="C17" s="10" t="n">
        <x:f>'Tratamento'!L17</x:f>
        <x:v>0.00012302222222221356</x:v>
      </x:c>
      <x:c r="D17" s="15" t="n">
        <x:f>1/C17^2</x:f>
        <x:v>66074344.699130565</x:v>
      </x:c>
      <x:c r="E17" s="15" t="n">
        <x:f>D17*A17</x:f>
        <x:v>42948324.054434866</x:v>
      </x:c>
      <x:c r="F17" s="15" t="n">
        <x:f>D17*B17</x:f>
        <x:v>9000000.000001267</x:v>
      </x:c>
      <x:c r="G17" s="15" t="n">
        <x:f>D17*A17^2</x:f>
        <x:v>27916410.635382667</x:v>
      </x:c>
      <x:c r="H17" s="15" t="n">
        <x:f>D17*A17*B17</x:f>
        <x:v>5850000.000000823</x:v>
      </x:c>
      <x:c r="I17" s="15" t="n">
        <x:f>((B17-$B$31*A17)/C17)^2</x:f>
        <x:v>65.06129080600503</x:v>
      </x:c>
      <x:c r="J17" s="1"/>
      <x:c r="K17" s="17" t="n">
        <x:f>((B17-$B$38*A17-$B$39)/C17)^2</x:f>
        <x:v>1.0663386422126422</x:v>
      </x:c>
      <x:c r="L17" s="17"/>
    </x:row>
    <x:row r="18" ht="23" customHeight="1">
      <x:c r="A18" s="14" t="n">
        <x:f>'Tratamento'!F18</x:f>
        <x:v>0.7</x:v>
      </x:c>
      <x:c r="B18" s="14" t="n">
        <x:f>'Tratamento'!K18</x:f>
        <x:v>0.146689</x:v>
      </x:c>
      <x:c r="C18" s="14" t="n">
        <x:f>'Tratamento'!L18</x:f>
        <x:v>0.0002340168654890784</x:v>
      </x:c>
      <x:c r="D18" s="16" t="n">
        <x:f>1/C18^2</x:f>
        <x:v>18260206.481545474</x:v>
      </x:c>
      <x:c r="E18" s="16" t="n">
        <x:f>D18*A18</x:f>
        <x:v>12782144.537081832</x:v>
      </x:c>
      <x:c r="F18" s="16" t="n">
        <x:f>D18*B18</x:f>
        <x:v>2678571.4285714244</x:v>
      </x:c>
      <x:c r="G18" s="16" t="n">
        <x:f>D18*A18^2</x:f>
        <x:v>8947501.175957281</x:v>
      </x:c>
      <x:c r="H18" s="16" t="n">
        <x:f>D18*A18*B18</x:f>
        <x:v>1874999.999999997</x:v>
      </x:c>
      <x:c r="I18" s="16" t="n">
        <x:f>((B18-$B$31*A18)/C18)^2</x:f>
        <x:v>20.810402113048106</x:v>
      </x:c>
      <x:c r="J18" s="1"/>
      <x:c r="K18" s="17" t="n">
        <x:f>((B18-$B$38*A18-$B$39)/C18)^2</x:f>
        <x:v>4.254434977374894</x:v>
      </x:c>
      <x:c r="L18" s="17"/>
    </x:row>
    <x:row r="19" ht="23" customHeight="1">
      <x:c r="A19" s="10" t="n">
        <x:f>'Tratamento'!F19</x:f>
        <x:v>0.75</x:v>
      </x:c>
      <x:c r="B19" s="10" t="n">
        <x:f>'Tratamento'!K19</x:f>
        <x:v>0.15620938777777776</x:v>
      </x:c>
      <x:c r="C19" s="10" t="n">
        <x:f>'Tratamento'!L19</x:f>
        <x:v>0.0002750904761692278</x:v>
      </x:c>
      <x:c r="D19" s="15" t="n">
        <x:f>1/C19^2</x:f>
        <x:v>13214443.849064805</x:v>
      </x:c>
      <x:c r="E19" s="15" t="n">
        <x:f>D19*A19</x:f>
        <x:v>9910832.886798603</x:v>
      </x:c>
      <x:c r="F19" s="15" t="n">
        <x:f>D19*B19</x:f>
        <x:v>2064220.1834862342</x:v>
      </x:c>
      <x:c r="G19" s="15" t="n">
        <x:f>D19*A19^2</x:f>
        <x:v>7433124.665098952</x:v>
      </x:c>
      <x:c r="H19" s="15" t="n">
        <x:f>D19*A19*B19</x:f>
        <x:v>1548165.1376146756</x:v>
      </x:c>
      <x:c r="I19" s="15" t="n">
        <x:f>((B19-$B$31*A19)/C19)^2</x:f>
        <x:v>58.34227941227586</x:v>
      </x:c>
      <x:c r="J19" s="1"/>
      <x:c r="K19" s="17" t="n">
        <x:f>((B19-$B$38*A19-$B$39)/C19)^2</x:f>
        <x:v>0.19049573309448942</x:v>
      </x:c>
      <x:c r="L19" s="17"/>
    </x:row>
    <x:row r="20" ht="23" customHeight="1">
      <x:c r="A20" s="14" t="n">
        <x:f>'Tratamento'!F20</x:f>
        <x:v>0.8</x:v>
      </x:c>
      <x:c r="B20" s="14" t="n">
        <x:f>'Tratamento'!K20</x:f>
        <x:v>0.16611058777777776</x:v>
      </x:c>
      <x:c r="C20" s="14" t="n">
        <x:f>'Tratamento'!L20</x:f>
        <x:v>0.0001437760056906084</x:v>
      </x:c>
      <x:c r="D20" s="16" t="n">
        <x:f>1/C20^2</x:f>
        <x:v>48375689.91366383</x:v>
      </x:c>
      <x:c r="E20" s="16" t="n">
        <x:f>D20*A20</x:f>
        <x:v>38700551.93093106</x:v>
      </x:c>
      <x:c r="F20" s="16" t="n">
        <x:f>D20*B20</x:f>
        <x:v>8035714.285714214</x:v>
      </x:c>
      <x:c r="G20" s="16" t="n">
        <x:f>D20*A20^2</x:f>
        <x:v>30960441.544744857</x:v>
      </x:c>
      <x:c r="H20" s="16" t="n">
        <x:f>D20*A20*B20</x:f>
        <x:v>6428571.42857137</x:v>
      </x:c>
      <x:c r="I20" s="16" t="n">
        <x:f>((B20-$B$31*A20)/C20)^2</x:f>
        <x:v>366.91644185473257</x:v>
      </x:c>
      <x:c r="J20" s="1"/>
      <x:c r="K20" s="17" t="n">
        <x:f>((B20-$B$38*A20-$B$39)/C20)^2</x:f>
        <x:v>5.6584963911201696</x:v>
      </x:c>
      <x:c r="L20" s="17"/>
    </x:row>
    <x:row r="21" ht="23" customHeight="1">
      <x:c r="A21" s="10" t="n">
        <x:f>'Tratamento'!F21</x:f>
        <x:v>0.85</x:v>
      </x:c>
      <x:c r="B21" s="10" t="n">
        <x:f>'Tratamento'!K21</x:f>
        <x:v>0.17690436000000004</x:v>
      </x:c>
      <x:c r="C21" s="10" t="n">
        <x:f>'Tratamento'!L21</x:f>
        <x:v>0.0001942668185769214</x:v>
      </x:c>
      <x:c r="D21" s="15" t="n">
        <x:f>1/C21^2</x:f>
        <x:v>26497368.40855809</x:v>
      </x:c>
      <x:c r="E21" s="15" t="n">
        <x:f>D21*A21</x:f>
        <x:v>22522763.147274375</x:v>
      </x:c>
      <x:c r="F21" s="15" t="n">
        <x:f>D21*B21</x:f>
        <x:v>4687500.000000188</x:v>
      </x:c>
      <x:c r="G21" s="15" t="n">
        <x:f>D21*A21^2</x:f>
        <x:v>19144348.675183218</x:v>
      </x:c>
      <x:c r="H21" s="15" t="n">
        <x:f>D21*A21*B21</x:f>
        <x:v>3984375.0000001597</x:v>
      </x:c>
      <x:c r="I21" s="15" t="n">
        <x:f>((B21-$B$31*A21)/C21)^2</x:f>
        <x:v>167.50924929265628</x:v>
      </x:c>
      <x:c r="J21" s="1"/>
      <x:c r="K21" s="17" t="n">
        <x:f>((B21-$B$38*A21-$B$39)/C21)^2</x:f>
        <x:v>2.8614914172798263</x:v>
      </x:c>
      <x:c r="L21" s="17"/>
    </x:row>
    <x:row r="22" ht="23" customHeight="1">
      <x:c r="A22" s="14" t="n">
        <x:f>'Tratamento'!F22</x:f>
        <x:v>0.9</x:v>
      </x:c>
      <x:c r="B22" s="14" t="n">
        <x:f>'Tratamento'!K22</x:f>
        <x:v>0.1872581377777778</x:v>
      </x:c>
      <x:c r="C22" s="14" t="n">
        <x:f>'Tratamento'!L22</x:f>
        <x:v>0.00017548094037406854</x:v>
      </x:c>
      <x:c r="D22" s="16" t="n">
        <x:f>1/C22^2</x:f>
        <x:v>32474322.094870433</x:v>
      </x:c>
      <x:c r="E22" s="16" t="n">
        <x:f>D22*A22</x:f>
        <x:v>29226889.88538339</x:v>
      </x:c>
      <x:c r="F22" s="16" t="n">
        <x:f>D22*B22</x:f>
        <x:v>6081081.081081182</x:v>
      </x:c>
      <x:c r="G22" s="16" t="n">
        <x:f>D22*A22^2</x:f>
        <x:v>26304200.896845054</x:v>
      </x:c>
      <x:c r="H22" s="16" t="n">
        <x:f>D22*A22*B22</x:f>
        <x:v>5472972.972973064</x:v>
      </x:c>
      <x:c r="I22" s="16" t="n">
        <x:f>((B22-$B$31*A22)/C22)^2</x:f>
        <x:v>239.2991416540472</x:v>
      </x:c>
      <x:c r="J22" s="1"/>
      <x:c r="K22" s="17" t="n">
        <x:f>((B22-$B$38*A22-$B$39)/C22)^2</x:f>
        <x:v>10.15688288174328</x:v>
      </x:c>
      <x:c r="L22" s="17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S</x:v>
      </x:c>
      <x:c r="B25" s="15" t="n">
        <x:f>SUM(D6:D22)</x:f>
        <x:v>1078202986.9996233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SX</x:v>
      </x:c>
      <x:c r="B26" s="15" t="n">
        <x:f>SUM(E6:E22)</x:f>
        <x:v>429094746.6085397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 t="str">
        <x:v>SY</x:v>
      </x:c>
      <x:c r="B27" s="15" t="n">
        <x:f>SUM(F6:F22)</x:f>
        <x:v>91708587.44239537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 t="str">
        <x:v>SXX</x:v>
      </x:c>
      <x:c r="B28" s="15" t="n">
        <x:f>SUM(G6:G22)</x:f>
        <x:v>223178472.28438824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 t="str">
        <x:v>SXY</x:v>
      </x:c>
      <x:c r="B29" s="15" t="n">
        <x:f>SUM(H6:H22)</x:f>
        <x:v>47108686.633096784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 t="str">
        <x:v>Delta</x:v>
      </x:c>
      <x:c r="B30" s="15" t="n">
        <x:f>B25*B28-B26^2</x:f>
        <x:v>56509393883993150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 t="str">
        <x:v>a₀ (origem)</x:v>
      </x:c>
      <x:c r="B31" s="15" t="n">
        <x:f>B29/B28</x:f>
        <x:v>0.21108078279641546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 t="str">
        <x:v>u(a₀)</x:v>
      </x:c>
      <x:c r="B32" s="15" t="n">
        <x:f>1/SQRT(B28)</x:f>
        <x:v>0.00006693817225774514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 t="str">
        <x:v>g₀ (m/s²)</x:v>
      </x:c>
      <x:c r="B33" s="15" t="n">
        <x:f>2/B31</x:f>
        <x:v>9.47504539969881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 t="str">
        <x:v>u(g₀) formal</x:v>
      </x:c>
      <x:c r="B34" s="15" t="n">
        <x:f>2*B32/B31^2</x:f>
        <x:v>0.0030047369197351926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 t="str">
        <x:v>χ² origem</x:v>
      </x:c>
      <x:c r="B35" s="15" t="n">
        <x:f>SUM(I6:I22)</x:f>
        <x:v>5133.295905223678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 t="str">
        <x:v>χ²/16 origem</x:v>
      </x:c>
      <x:c r="B36" s="15" t="n">
        <x:f>B35/16</x:f>
        <x:v>320.8309940764799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5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 t="str">
        <x:v>a (livre)</x:v>
      </x:c>
      <x:c r="B38" s="15" t="n">
        <x:f>(B25*B29-B26*B27)/B30</x:f>
        <x:v>0.20246286085636506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3" customHeight="1">
      <x:c r="A39" s="1" t="str">
        <x:v>b (livre)</x:v>
      </x:c>
      <x:c r="B39" s="15" t="n">
        <x:f>(B28*B27-B26*B29)/B30</x:f>
        <x:v>0.004482307620981502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3" customHeight="1">
      <x:c r="A40" s="1" t="str">
        <x:v>u(a)</x:v>
      </x:c>
      <x:c r="B40" s="15" t="n">
        <x:f>SQRT(B25/B30)</x:f>
        <x:v>0.00013813061351709217</x:v>
      </x:c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3" customHeight="1">
      <x:c r="A41" s="1" t="str">
        <x:v>u(b)</x:v>
      </x:c>
      <x:c r="B41" s="15" t="n">
        <x:f>SQRT(B28/B30)</x:f>
        <x:v>0.00006284429023193789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3" customHeight="1">
      <x:c r="A42" s="1" t="str">
        <x:v>cov(a,b)</x:v>
      </x:c>
      <x:c r="B42" s="15" t="n">
        <x:f>-B26/B30</x:f>
        <x:v>-7.593334791192745e-9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3" customHeight="1">
      <x:c r="A43" s="1" t="str">
        <x:v>g livre (m/s²)</x:v>
      </x:c>
      <x:c r="B43" s="15" t="n">
        <x:f>2/B38</x:f>
        <x:v>9.878354931568792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3" customHeight="1">
      <x:c r="A44" s="1" t="str">
        <x:v>u(g) formal</x:v>
      </x:c>
      <x:c r="B44" s="15" t="n">
        <x:f>2*B40/B38^2</x:f>
        <x:v>0.0067395235919600165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3" customHeight="1">
      <x:c r="A45" s="1" t="str">
        <x:v>χ² livre</x:v>
      </x:c>
      <x:c r="B45" s="15" t="n">
        <x:f>SUM(K6:K22)</x:f>
        <x:v>46.179605055251315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3" customHeight="1">
      <x:c r="A46" s="1" t="str">
        <x:v>χ²/15 livre</x:v>
      </x:c>
      <x:c r="B46" s="15" t="n">
        <x:f>B45/15</x:f>
        <x:v>3.0786403370167545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3" customHeight="1">
      <x:c r="A47" s="1" t="str">
        <x:v>d₀ = −b/a (m)</x:v>
      </x:c>
      <x:c r="B47" s="15" t="n">
        <x:f>-B39/B38</x:f>
        <x:v>-0.0221389127962655</x:v>
      </x:c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</x:sheetData>
  <x:pageMargins left="0.7" right="0.7" top="0.75" bottom="0.75" header="0.3" footer="0.3"/>
</x:worksheet>
</file>