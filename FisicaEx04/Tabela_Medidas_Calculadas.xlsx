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0873979aa47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32eba36c2de94a30"/>
    <x:sheet xmlns:r="http://schemas.openxmlformats.org/officeDocument/2006/relationships" name="Medidas" sheetId="2" r:id="R72cf35453b1b4dbf"/>
    <x:sheet xmlns:r="http://schemas.openxmlformats.org/officeDocument/2006/relationships" name="Tratamento" sheetId="3" r:id="Rf64a4c03c60d4b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double">
        <x:color rgb="FF6683A4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double">
        <x:color rgb="FF6683A4"/>
      </x:bottom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9f447f5d44886" /><Relationship Type="http://schemas.openxmlformats.org/officeDocument/2006/relationships/theme" Target="/xl/theme/theme1.xml" Id="Re42b73c04e5a46f9" /><Relationship Type="http://schemas.openxmlformats.org/officeDocument/2006/relationships/sharedStrings" Target="/xl/sharedStrings.xml" Id="R22ec91ca9e2d46be" /><Relationship Type="http://schemas.openxmlformats.org/officeDocument/2006/relationships/worksheet" Target="/xl/worksheets/sheet1.xml" Id="R32eba36c2de94a30" /><Relationship Type="http://schemas.openxmlformats.org/officeDocument/2006/relationships/worksheet" Target="/xl/worksheets/sheet2.xml" Id="R72cf35453b1b4dbf" /><Relationship Type="http://schemas.openxmlformats.org/officeDocument/2006/relationships/worksheet" Target="/xl/worksheets/sheet3.xml" Id="Rf64a4c03c60d4b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30" hidden="0" customWidth="1"/>
  </x:cols>
  <x:sheetData>
    <x:row r="1">
      <x:c r="A1" t="str">
        <x:v>Capítulo 13  Movimento de um projétil</x:v>
      </x:c>
    </x:row>
    <x:row r="3">
      <x:c r="A3" s="2" t="str">
        <x:v>Grandeza</x:v>
      </x:c>
      <x:c r="B3" s="2" t="str">
        <x:v>Resultado</x:v>
      </x:c>
    </x:row>
    <x:row r="4">
      <x:c r="A4" s="2" t="str">
        <x:v>n livre</x:v>
      </x:c>
      <x:c r="B4" s="4" t="n">
        <x:f>SLOPE(Tratamento!J2:J11,Tratamento!I2:I11)</x:f>
        <x:v>2.4331706232246173</x:v>
      </x:c>
    </x:row>
    <x:row r="5">
      <x:c r="A5" s="2" t="str">
        <x:v>A por y = Ax², m^-1</x:v>
      </x:c>
      <x:c r="B5" s="4" t="n">
        <x:f>SUMPRODUCT(Tratamento!H2:H11,Tratamento!G2:G11)/SUMSQ(Tratamento!H2:H11)</x:f>
        <x:v>2.4602586876143104</x:v>
      </x:c>
    </x:row>
    <x:row r="6">
      <x:c r="A6" s="2" t="str">
        <x:v>v0 por y = Ax², m/s</x:v>
      </x:c>
      <x:c r="B6" s="4" t="n">
        <x:f>SQRT(B9/(2*B5))</x:f>
        <x:v>1.4105418015487496</x:v>
      </x:c>
    </x:row>
    <x:row r="7">
      <x:c r="A7" s="2" t="str">
        <x:v>A por log n=2, m^-1</x:v>
      </x:c>
      <x:c r="B7" s="4" t="n">
        <x:f>EXP(AVERAGE(Tratamento!J2:J11)-2*AVERAGE(Tratamento!I2:I11))</x:f>
        <x:v>1.9535600183159738</x:v>
      </x:c>
    </x:row>
    <x:row r="8">
      <x:c r="A8" s="2" t="str">
        <x:v>v0 por log n=2, m/s</x:v>
      </x:c>
      <x:c r="B8" s="4" t="n">
        <x:f>SQRT(B9/(2*B7))</x:f>
        <x:v>1.5829345883601906</x:v>
      </x:c>
    </x:row>
    <x:row r="9">
      <x:c r="A9" s="2" t="str">
        <x:v>g assumido, m/s²</x:v>
      </x:c>
      <x:c r="B9" s="4" t="n">
        <x:v>9.79</x:v>
      </x:c>
    </x:row>
    <x:row r="10">
      <x:c r="A10" s="2" t="str">
        <x:v>N de posições ajustadas</x:v>
      </x:c>
      <x:c r="B10" s="2" t="n">
        <x:v>10</x:v>
      </x:c>
    </x:row>
    <x:row r="11">
      <x:c r="A11" s="2" t="str">
        <x:v>x=55 cm</x:v>
      </x:c>
      <x:c r="B11" s="2" t="str">
        <x:v>1 medida; 2 vezes no chão</x:v>
      </x:c>
    </x:row>
    <x:row r="13">
      <x:c r="A13" t="str">
        <x:v>Os valores de velocidade dependem do modelo quadrático.</x:v>
      </x:c>
    </x:row>
    <x:row r="14">
      <x:c r="A14" t="str">
        <x:v>Incerteza instrumental de x e y ainda não informada.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2" t="str">
        <x:v>x (cm)</x:v>
      </x:c>
      <x:c r="B1" s="2" t="str">
        <x:v>y1 (cm)</x:v>
      </x:c>
      <x:c r="C1" s="2" t="str">
        <x:v>y2 (cm)</x:v>
      </x:c>
      <x:c r="D1" s="2" t="str">
        <x:v>y3 (cm)</x:v>
      </x:c>
    </x:row>
    <x:row r="2">
      <x:c r="A2" s="2" t="n">
        <x:v>5</x:v>
      </x:c>
      <x:c r="B2" s="2" t="n">
        <x:v>0.15</x:v>
      </x:c>
      <x:c r="C2" s="2" t="n">
        <x:v>0.2</x:v>
      </x:c>
      <x:c r="D2" s="2" t="n">
        <x:v>0.3</x:v>
      </x:c>
    </x:row>
    <x:row r="3">
      <x:c r="A3" s="2" t="n">
        <x:v>10</x:v>
      </x:c>
      <x:c r="B3" s="2" t="n">
        <x:v>1.4</x:v>
      </x:c>
      <x:c r="C3" s="2" t="n">
        <x:v>1.5</x:v>
      </x:c>
      <x:c r="D3" s="2" t="n">
        <x:v>1.7</x:v>
      </x:c>
    </x:row>
    <x:row r="4">
      <x:c r="A4" s="2" t="n">
        <x:v>15</x:v>
      </x:c>
      <x:c r="B4" s="2" t="n">
        <x:v>3.1</x:v>
      </x:c>
      <x:c r="C4" s="2" t="n">
        <x:v>3.85</x:v>
      </x:c>
      <x:c r="D4" s="2" t="n">
        <x:v>4</x:v>
      </x:c>
    </x:row>
    <x:row r="5">
      <x:c r="A5" s="2" t="n">
        <x:v>20</x:v>
      </x:c>
      <x:c r="B5" s="2" t="n">
        <x:v>8.7</x:v>
      </x:c>
      <x:c r="C5" s="2" t="n">
        <x:v>9.05</x:v>
      </x:c>
      <x:c r="D5" s="2" t="n">
        <x:v>9.4</x:v>
      </x:c>
    </x:row>
    <x:row r="6">
      <x:c r="A6" s="2" t="n">
        <x:v>25</x:v>
      </x:c>
      <x:c r="B6" s="2" t="n">
        <x:v>13.05</x:v>
      </x:c>
      <x:c r="C6" s="2" t="n">
        <x:v>13.2</x:v>
      </x:c>
      <x:c r="D6" s="2" t="n">
        <x:v>13.8</x:v>
      </x:c>
    </x:row>
    <x:row r="7">
      <x:c r="A7" s="2" t="n">
        <x:v>30</x:v>
      </x:c>
      <x:c r="B7" s="2" t="n">
        <x:v>18.8</x:v>
      </x:c>
      <x:c r="C7" s="2" t="n">
        <x:v>20.1</x:v>
      </x:c>
      <x:c r="D7" s="2" t="n">
        <x:v>20.7</x:v>
      </x:c>
    </x:row>
    <x:row r="8">
      <x:c r="A8" s="2" t="n">
        <x:v>35</x:v>
      </x:c>
      <x:c r="B8" s="2" t="n">
        <x:v>28.6</x:v>
      </x:c>
      <x:c r="C8" s="2" t="n">
        <x:v>29.15</x:v>
      </x:c>
      <x:c r="D8" s="2" t="n">
        <x:v>29.95</x:v>
      </x:c>
    </x:row>
    <x:row r="9">
      <x:c r="A9" s="2" t="n">
        <x:v>40</x:v>
      </x:c>
      <x:c r="B9" s="2" t="n">
        <x:v>32.7</x:v>
      </x:c>
      <x:c r="C9" s="2" t="n">
        <x:v>36.7</x:v>
      </x:c>
      <x:c r="D9" s="2" t="n">
        <x:v>40.15</x:v>
      </x:c>
    </x:row>
    <x:row r="10">
      <x:c r="A10" s="2" t="n">
        <x:v>45</x:v>
      </x:c>
      <x:c r="B10" s="2" t="n">
        <x:v>48.6</x:v>
      </x:c>
      <x:c r="C10" s="2" t="n">
        <x:v>49.35</x:v>
      </x:c>
      <x:c r="D10" s="2" t="n">
        <x:v>53</x:v>
      </x:c>
    </x:row>
    <x:row r="11">
      <x:c r="A11" s="2" t="n">
        <x:v>50</x:v>
      </x:c>
      <x:c r="B11" s="2" t="n">
        <x:v>63.35</x:v>
      </x:c>
      <x:c r="C11" s="2" t="n">
        <x:v>64.4</x:v>
      </x:c>
      <x:c r="D11" s="2" t="n">
        <x:v>67.35</x:v>
      </x:c>
    </x:row>
    <x:row r="12">
      <x:c r="A12" s="2" t="n">
        <x:v>55</x:v>
      </x:c>
      <x:c r="B12" s="2" t="n">
        <x:v>81.7</x:v>
      </x:c>
      <x:c r="C12" s="2" t="str">
        <x:v>No chão</x:v>
      </x:c>
      <x:c r="D12" s="2" t="str">
        <x:v>No chão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3" t="str">
        <x:v>x (cm)</x:v>
      </x:c>
      <x:c r="B1" s="3" t="str">
        <x:v>n</x:v>
      </x:c>
      <x:c r="C1" s="3" t="str">
        <x:v>y médio (cm)</x:v>
      </x:c>
      <x:c r="D1" s="3" t="str">
        <x:v>s (cm)</x:v>
      </x:c>
      <x:c r="E1" s="3" t="str">
        <x:v>u estat. (cm)</x:v>
      </x:c>
      <x:c r="F1" s="3" t="str">
        <x:v>x (m)</x:v>
      </x:c>
      <x:c r="G1" s="3" t="str">
        <x:v>y médio (m)</x:v>
      </x:c>
      <x:c r="H1" s="3" t="str">
        <x:v>x² (m²)</x:v>
      </x:c>
      <x:c r="I1" s="3" t="str">
        <x:v>ln(x/1 m)</x:v>
      </x:c>
      <x:c r="J1" s="3" t="str">
        <x:v>ln(y/1 m)</x:v>
      </x:c>
    </x:row>
    <x:row r="2">
      <x:c r="A2" s="2" t="n">
        <x:f>Medidas!A2</x:f>
        <x:v>5</x:v>
      </x:c>
      <x:c r="B2" s="2" t="n">
        <x:f>COUNT(Medidas!B2:D2)</x:f>
        <x:v>3</x:v>
      </x:c>
      <x:c r="C2" s="4" t="n">
        <x:f>AVERAGE(Medidas!B2:D2)</x:f>
        <x:v>0.21666666666666665</x:v>
      </x:c>
      <x:c r="D2" s="4" t="n">
        <x:f>SQRT(((Medidas!B2-C2)^2+(Medidas!C2-C2)^2+(Medidas!D2-C2)^2)/2)</x:f>
        <x:v>0.07637626158259733</x:v>
      </x:c>
      <x:c r="E2" s="4" t="n">
        <x:f>D2/SQRT(3)</x:f>
        <x:v>0.044095855184409845</x:v>
      </x:c>
      <x:c r="F2" s="4" t="n">
        <x:f>A2/100</x:f>
        <x:v>0.05</x:v>
      </x:c>
      <x:c r="G2" s="4" t="n">
        <x:f>C2/100</x:f>
        <x:v>0.0021666666666666666</x:v>
      </x:c>
      <x:c r="H2" s="4" t="n">
        <x:f>F2^2</x:f>
        <x:v>0.0025000000000000005</x:v>
      </x:c>
      <x:c r="I2" s="4" t="n">
        <x:f>LN(F2)</x:f>
        <x:v>-2.995732273553991</x:v>
      </x:c>
      <x:c r="J2" s="4" t="n">
        <x:f>LN(G2)</x:f>
        <x:v>-6.134565390748655</x:v>
      </x:c>
    </x:row>
    <x:row r="3">
      <x:c r="A3" s="2" t="n">
        <x:f>Medidas!A3</x:f>
        <x:v>10</x:v>
      </x:c>
      <x:c r="B3" s="2" t="n">
        <x:f>COUNT(Medidas!B3:D3)</x:f>
        <x:v>3</x:v>
      </x:c>
      <x:c r="C3" s="4" t="n">
        <x:f>AVERAGE(Medidas!B3:D3)</x:f>
        <x:v>1.5333333333333332</x:v>
      </x:c>
      <x:c r="D3" s="4" t="n">
        <x:f>SQRT(((Medidas!B3-C3)^2+(Medidas!C3-C3)^2+(Medidas!D3-C3)^2)/2)</x:f>
        <x:v>0.1527525231651947</x:v>
      </x:c>
      <x:c r="E3" s="4" t="n">
        <x:f>D3/SQRT(3)</x:f>
        <x:v>0.0881917103688197</x:v>
      </x:c>
      <x:c r="F3" s="4" t="n">
        <x:f>A3/100</x:f>
        <x:v>0.1</x:v>
      </x:c>
      <x:c r="G3" s="4" t="n">
        <x:f>C3/100</x:f>
        <x:v>0.015333333333333332</x:v>
      </x:c>
      <x:c r="H3" s="4" t="n">
        <x:f>F3^2</x:f>
        <x:v>0.010000000000000002</x:v>
      </x:c>
      <x:c r="I3" s="4" t="n">
        <x:f>LN(F3)</x:f>
        <x:v>-2.3025850929940455</x:v>
      </x:c>
      <x:c r="J3" s="4" t="n">
        <x:f>LN(G3)</x:f>
        <x:v>-4.177726171161152</x:v>
      </x:c>
    </x:row>
    <x:row r="4">
      <x:c r="A4" s="2" t="n">
        <x:f>Medidas!A4</x:f>
        <x:v>15</x:v>
      </x:c>
      <x:c r="B4" s="2" t="n">
        <x:f>COUNT(Medidas!B4:D4)</x:f>
        <x:v>3</x:v>
      </x:c>
      <x:c r="C4" s="4" t="n">
        <x:f>AVERAGE(Medidas!B4:D4)</x:f>
        <x:v>3.65</x:v>
      </x:c>
      <x:c r="D4" s="4" t="n">
        <x:f>SQRT(((Medidas!B4-C4)^2+(Medidas!C4-C4)^2+(Medidas!D4-C4)^2)/2)</x:f>
        <x:v>0.4821825380496477</x:v>
      </x:c>
      <x:c r="E4" s="4" t="n">
        <x:f>D4/SQRT(3)</x:f>
        <x:v>0.2783882181415011</x:v>
      </x:c>
      <x:c r="F4" s="4" t="n">
        <x:f>A4/100</x:f>
        <x:v>0.15</x:v>
      </x:c>
      <x:c r="G4" s="4" t="n">
        <x:f>C4/100</x:f>
        <x:v>0.0365</x:v>
      </x:c>
      <x:c r="H4" s="4" t="n">
        <x:f>F4^2</x:f>
        <x:v>0.0225</x:v>
      </x:c>
      <x:c r="I4" s="4" t="n">
        <x:f>LN(F4)</x:f>
        <x:v>-1.8971199848858813</x:v>
      </x:c>
      <x:c r="J4" s="4" t="n">
        <x:f>LN(G4)</x:f>
        <x:v>-3.3104430183936913</x:v>
      </x:c>
    </x:row>
    <x:row r="5">
      <x:c r="A5" s="2" t="n">
        <x:f>Medidas!A5</x:f>
        <x:v>20</x:v>
      </x:c>
      <x:c r="B5" s="2" t="n">
        <x:f>COUNT(Medidas!B5:D5)</x:f>
        <x:v>3</x:v>
      </x:c>
      <x:c r="C5" s="4" t="n">
        <x:f>AVERAGE(Medidas!B5:D5)</x:f>
        <x:v>9.049999999999999</x:v>
      </x:c>
      <x:c r="D5" s="4" t="n">
        <x:f>SQRT(((Medidas!B5-C5)^2+(Medidas!C5-C5)^2+(Medidas!D5-C5)^2)/2)</x:f>
        <x:v>0.35000000000000053</x:v>
      </x:c>
      <x:c r="E5" s="4" t="n">
        <x:f>D5/SQRT(3)</x:f>
        <x:v>0.20207259421636933</x:v>
      </x:c>
      <x:c r="F5" s="4" t="n">
        <x:f>A5/100</x:f>
        <x:v>0.2</x:v>
      </x:c>
      <x:c r="G5" s="4" t="n">
        <x:f>C5/100</x:f>
        <x:v>0.09049999999999998</x:v>
      </x:c>
      <x:c r="H5" s="4" t="n">
        <x:f>F5^2</x:f>
        <x:v>0.04000000000000001</x:v>
      </x:c>
      <x:c r="I5" s="4" t="n">
        <x:f>LN(F5)</x:f>
        <x:v>-1.6094379124341003</x:v>
      </x:c>
      <x:c r="J5" s="4" t="n">
        <x:f>LN(G5)</x:f>
        <x:v>-2.402405428276257</x:v>
      </x:c>
    </x:row>
    <x:row r="6">
      <x:c r="A6" s="2" t="n">
        <x:f>Medidas!A6</x:f>
        <x:v>25</x:v>
      </x:c>
      <x:c r="B6" s="2" t="n">
        <x:f>COUNT(Medidas!B6:D6)</x:f>
        <x:v>3</x:v>
      </x:c>
      <x:c r="C6" s="4" t="n">
        <x:f>AVERAGE(Medidas!B6:D6)</x:f>
        <x:v>13.35</x:v>
      </x:c>
      <x:c r="D6" s="4" t="n">
        <x:f>SQRT(((Medidas!B6-C6)^2+(Medidas!C6-C6)^2+(Medidas!D6-C6)^2)/2)</x:f>
        <x:v>0.3968626966596888</x:v>
      </x:c>
      <x:c r="E6" s="4" t="n">
        <x:f>D6/SQRT(3)</x:f>
        <x:v>0.22912878474779214</x:v>
      </x:c>
      <x:c r="F6" s="4" t="n">
        <x:f>A6/100</x:f>
        <x:v>0.25</x:v>
      </x:c>
      <x:c r="G6" s="4" t="n">
        <x:f>C6/100</x:f>
        <x:v>0.1335</x:v>
      </x:c>
      <x:c r="H6" s="4" t="n">
        <x:f>F6^2</x:f>
        <x:v>0.0625</x:v>
      </x:c>
      <x:c r="I6" s="4" t="n">
        <x:f>LN(F6)</x:f>
        <x:v>-1.3862943611198906</x:v>
      </x:c>
      <x:c r="J6" s="4" t="n">
        <x:f>LN(G6)</x:f>
        <x:v>-2.0136538011418326</x:v>
      </x:c>
    </x:row>
    <x:row r="7">
      <x:c r="A7" s="2" t="n">
        <x:f>Medidas!A7</x:f>
        <x:v>30</x:v>
      </x:c>
      <x:c r="B7" s="2" t="n">
        <x:f>COUNT(Medidas!B7:D7)</x:f>
        <x:v>3</x:v>
      </x:c>
      <x:c r="C7" s="4" t="n">
        <x:f>AVERAGE(Medidas!B7:D7)</x:f>
        <x:v>19.86666666666667</x:v>
      </x:c>
      <x:c r="D7" s="4" t="n">
        <x:f>SQRT(((Medidas!B7-C7)^2+(Medidas!C7-C7)^2+(Medidas!D7-C7)^2)/2)</x:f>
        <x:v>0.9712534856222305</x:v>
      </x:c>
      <x:c r="E7" s="4" t="n">
        <x:f>D7/SQRT(3)</x:f>
        <x:v>0.5607534613753571</x:v>
      </x:c>
      <x:c r="F7" s="4" t="n">
        <x:f>A7/100</x:f>
        <x:v>0.3</x:v>
      </x:c>
      <x:c r="G7" s="4" t="n">
        <x:f>C7/100</x:f>
        <x:v>0.1986666666666667</x:v>
      </x:c>
      <x:c r="H7" s="4" t="n">
        <x:f>F7^2</x:f>
        <x:v>0.09</x:v>
      </x:c>
      <x:c r="I7" s="4" t="n">
        <x:f>LN(F7)</x:f>
        <x:v>-1.2039728043259361</x:v>
      </x:c>
      <x:c r="J7" s="4" t="n">
        <x:f>LN(G7)</x:f>
        <x:v>-1.6161269005848968</x:v>
      </x:c>
    </x:row>
    <x:row r="8">
      <x:c r="A8" s="2" t="n">
        <x:f>Medidas!A8</x:f>
        <x:v>35</x:v>
      </x:c>
      <x:c r="B8" s="2" t="n">
        <x:f>COUNT(Medidas!B8:D8)</x:f>
        <x:v>3</x:v>
      </x:c>
      <x:c r="C8" s="4" t="n">
        <x:f>AVERAGE(Medidas!B8:D8)</x:f>
        <x:v>29.233333333333334</x:v>
      </x:c>
      <x:c r="D8" s="4" t="n">
        <x:f>SQRT(((Medidas!B8-C8)^2+(Medidas!C8-C8)^2+(Medidas!D8-C8)^2)/2)</x:f>
        <x:v>0.6788470618138758</x:v>
      </x:c>
      <x:c r="E8" s="4" t="n">
        <x:f>D8/SQRT(3)</x:f>
        <x:v>0.39193253387682775</x:v>
      </x:c>
      <x:c r="F8" s="4" t="n">
        <x:f>A8/100</x:f>
        <x:v>0.35</x:v>
      </x:c>
      <x:c r="G8" s="4" t="n">
        <x:f>C8/100</x:f>
        <x:v>0.29233333333333333</x:v>
      </x:c>
      <x:c r="H8" s="4" t="n">
        <x:f>F8^2</x:f>
        <x:v>0.12249999999999998</x:v>
      </x:c>
      <x:c r="I8" s="4" t="n">
        <x:f>LN(F8)</x:f>
        <x:v>-1.0498221244986778</x:v>
      </x:c>
      <x:c r="J8" s="4" t="n">
        <x:f>LN(G8)</x:f>
        <x:v>-1.2298605752780638</x:v>
      </x:c>
    </x:row>
    <x:row r="9">
      <x:c r="A9" s="2" t="n">
        <x:f>Medidas!A9</x:f>
        <x:v>40</x:v>
      </x:c>
      <x:c r="B9" s="2" t="n">
        <x:f>COUNT(Medidas!B9:D9)</x:f>
        <x:v>3</x:v>
      </x:c>
      <x:c r="C9" s="4" t="n">
        <x:f>AVERAGE(Medidas!B9:D9)</x:f>
        <x:v>36.51666666666667</x:v>
      </x:c>
      <x:c r="D9" s="4" t="n">
        <x:f>SQRT(((Medidas!B9-C9)^2+(Medidas!C9-C9)^2+(Medidas!D9-C9)^2)/2)</x:f>
        <x:v>3.7283821334907876</x:v>
      </x:c>
      <x:c r="E9" s="4" t="n">
        <x:f>D9/SQRT(3)</x:f>
        <x:v>2.1525824284126975</x:v>
      </x:c>
      <x:c r="F9" s="4" t="n">
        <x:f>A9/100</x:f>
        <x:v>0.4</x:v>
      </x:c>
      <x:c r="G9" s="4" t="n">
        <x:f>C9/100</x:f>
        <x:v>0.36516666666666675</x:v>
      </x:c>
      <x:c r="H9" s="4" t="n">
        <x:f>F9^2</x:f>
        <x:v>0.16000000000000003</x:v>
      </x:c>
      <x:c r="I9" s="4" t="n">
        <x:f>LN(F9)</x:f>
        <x:v>-0.916290731874155</x:v>
      </x:c>
      <x:c r="J9" s="4" t="n">
        <x:f>LN(G9)</x:f>
        <x:v>-1.0074014086147254</x:v>
      </x:c>
    </x:row>
    <x:row r="10">
      <x:c r="A10" s="2" t="n">
        <x:f>Medidas!A10</x:f>
        <x:v>45</x:v>
      </x:c>
      <x:c r="B10" s="2" t="n">
        <x:f>COUNT(Medidas!B10:D10)</x:f>
        <x:v>3</x:v>
      </x:c>
      <x:c r="C10" s="4" t="n">
        <x:f>AVERAGE(Medidas!B10:D10)</x:f>
        <x:v>50.31666666666666</x:v>
      </x:c>
      <x:c r="D10" s="4" t="n">
        <x:f>SQRT(((Medidas!B10-C10)^2+(Medidas!C10-C10)^2+(Medidas!D10-C10)^2)/2)</x:f>
        <x:v>2.353897477235007</x:v>
      </x:c>
      <x:c r="E10" s="4" t="n">
        <x:f>D10/SQRT(3)</x:f>
        <x:v>1.3590233421264124</x:v>
      </x:c>
      <x:c r="F10" s="4" t="n">
        <x:f>A10/100</x:f>
        <x:v>0.45</x:v>
      </x:c>
      <x:c r="G10" s="4" t="n">
        <x:f>C10/100</x:f>
        <x:v>0.5031666666666667</x:v>
      </x:c>
      <x:c r="H10" s="4" t="n">
        <x:f>F10^2</x:f>
        <x:v>0.2025</x:v>
      </x:c>
      <x:c r="I10" s="4" t="n">
        <x:f>LN(F10)</x:f>
        <x:v>-0.7985076962177716</x:v>
      </x:c>
      <x:c r="J10" s="4" t="n">
        <x:f>LN(G10)</x:f>
        <x:v>-0.6868338185033532</x:v>
      </x:c>
    </x:row>
    <x:row r="11">
      <x:c r="A11" s="2" t="n">
        <x:f>Medidas!A11</x:f>
        <x:v>50</x:v>
      </x:c>
      <x:c r="B11" s="2" t="n">
        <x:f>COUNT(Medidas!B11:D11)</x:f>
        <x:v>3</x:v>
      </x:c>
      <x:c r="C11" s="4" t="n">
        <x:f>AVERAGE(Medidas!B11:D11)</x:f>
        <x:v>65.03333333333333</x:v>
      </x:c>
      <x:c r="D11" s="4" t="n">
        <x:f>SQRT(((Medidas!B11-C11)^2+(Medidas!C11-C11)^2+(Medidas!D11-C11)^2)/2)</x:f>
        <x:v>2.0738450601077494</x:v>
      </x:c>
      <x:c r="E11" s="4" t="n">
        <x:f>D11/SQRT(3)</x:f>
        <x:v>1.1973350037107848</x:v>
      </x:c>
      <x:c r="F11" s="4" t="n">
        <x:f>A11/100</x:f>
        <x:v>0.5</x:v>
      </x:c>
      <x:c r="G11" s="4" t="n">
        <x:f>C11/100</x:f>
        <x:v>0.6503333333333333</x:v>
      </x:c>
      <x:c r="H11" s="4" t="n">
        <x:f>F11^2</x:f>
        <x:v>0.25</x:v>
      </x:c>
      <x:c r="I11" s="4" t="n">
        <x:f>LN(F11)</x:f>
        <x:v>-0.6931471805599453</x:v>
      </x:c>
      <x:c r="J11" s="4" t="n">
        <x:f>LN(G11)</x:f>
        <x:v>-0.4302702270271356</x:v>
      </x:c>
    </x:row>
    <x:row r="12">
      <x:c r="A12" s="2" t="n">
        <x:f>Medidas!A12</x:f>
        <x:v>55</x:v>
      </x:c>
      <x:c r="B12" s="2" t="n">
        <x:f>COUNT(Medidas!B12:D12)</x:f>
        <x:v>1</x:v>
      </x:c>
      <x:c r="C12" s="4" t="n">
        <x:f>AVERAGE(Medidas!B12:D12)</x:f>
        <x:v>81.7</x:v>
      </x:c>
      <x:c r="D12" s="4" t="str">
        <x:v>sem repetição</x:v>
      </x:c>
      <x:c r="E12" s="4" t="str">
        <x:v>sem repetição</x:v>
      </x:c>
      <x:c r="F12" s="4" t="n">
        <x:f>A12/100</x:f>
        <x:v>0.55</x:v>
      </x:c>
      <x:c r="G12" s="4" t="n">
        <x:f>C12/100</x:f>
        <x:v>0.8170000000000001</x:v>
      </x:c>
      <x:c r="H12" s="4" t="n">
        <x:f>F12^2</x:f>
        <x:v>0.30250000000000005</x:v>
      </x:c>
      <x:c r="I12" s="4" t="n">
        <x:f>LN(F12)</x:f>
        <x:v>-0.5978370007556204</x:v>
      </x:c>
      <x:c r="J12" s="4" t="n">
        <x:f>LN(G12)</x:f>
        <x:v>-0.20211618412213408</x:v>
      </x:c>
    </x:row>
  </x:sheetData>
  <x:pageMargins left="0.7" right="0.7" top="0.75" bottom="0.75" header="0.3" footer="0.3"/>
</x:worksheet>
</file>