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0830bdcb4b854e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Medidas" sheetId="1" r:id="Ra42c8e3b07f240b9"/>
    <x:sheet xmlns:r="http://schemas.openxmlformats.org/officeDocument/2006/relationships" name="Tratamento" sheetId="2" r:id="R7055bb1cca924a62"/>
    <x:sheet xmlns:r="http://schemas.openxmlformats.org/officeDocument/2006/relationships" name="Resultados" sheetId="3" r:id="R8a1c1420c819498c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"/>
    <x:numFmt numFmtId="201" formatCode="0.##"/>
    <x:numFmt numFmtId="202" formatCode="0.000000"/>
  </x:numFmts>
  <x:fonts count="4">
    <x:font>
      <x:sz val="11"/>
      <x:name val="Carlito"/>
    </x:font>
    <x:font>
      <x:sz val="11"/>
      <x:name val="Arial"/>
    </x:font>
    <x:font>
      <x:sz val="11"/>
      <x:color rgb="FFFFFFFF"/>
      <x:name val="Arial"/>
    </x:font>
    <x:font>
      <x:b/>
      <x:sz val="11"/>
      <x:color rgb="FFFFFFFF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476A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9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2" fontId="1" fillId="0" borderId="0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af336a3c4e84347" /><Relationship Type="http://schemas.openxmlformats.org/officeDocument/2006/relationships/theme" Target="/xl/theme/theme1.xml" Id="R1fa521a1bffc4add" /><Relationship Type="http://schemas.openxmlformats.org/officeDocument/2006/relationships/sharedStrings" Target="/xl/sharedStrings.xml" Id="R18e21b82aa2148dc" /><Relationship Type="http://schemas.openxmlformats.org/officeDocument/2006/relationships/worksheet" Target="/xl/worksheets/sheet1.xml" Id="Ra42c8e3b07f240b9" /><Relationship Type="http://schemas.openxmlformats.org/officeDocument/2006/relationships/worksheet" Target="/xl/worksheets/sheet2.xml" Id="R7055bb1cca924a62" /><Relationship Type="http://schemas.openxmlformats.org/officeDocument/2006/relationships/worksheet" Target="/xl/worksheets/sheet3.xml" Id="R8a1c1420c819498c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3" hidden="0" customWidth="1"/>
    <x:col min="2" max="2" width="14" hidden="0" customWidth="1"/>
    <x:col min="3" max="3" width="14" hidden="0" customWidth="1"/>
    <x:col min="4" max="4" width="14" hidden="0" customWidth="1"/>
    <x:col min="5" max="5" width="28" hidden="0" customWidth="1"/>
    <x:col min="6" max="6" width="29" hidden="0" customWidth="1"/>
    <x:col min="7" max="7" width="29" hidden="0" customWidth="1"/>
  </x:cols>
  <x:sheetData>
    <x:row r="1" ht="36" customHeight="1">
      <x:c r="A1" s="5" t="str">
        <x:v>x (cm)</x:v>
      </x:c>
      <x:c r="B1" s="5" t="str">
        <x:v>D1 (cm)</x:v>
      </x:c>
      <x:c r="C1" s="5" t="str">
        <x:v>D2 (cm)</x:v>
      </x:c>
      <x:c r="D1" s="5" t="str">
        <x:v>D3 (cm)</x:v>
      </x:c>
      <x:c r="E1" s="5" t="str">
        <x:v>Incerteza instrumental (cm)</x:v>
      </x:c>
      <x:c r="F1" s="5" t="str">
        <x:v>Estado D2</x:v>
      </x:c>
      <x:c r="G1" s="5" t="str">
        <x:v>Estado D3</x:v>
      </x:c>
    </x:row>
    <x:row r="2" ht="25" customHeight="1">
      <x:c r="A2" s="6" t="n">
        <x:v>5</x:v>
      </x:c>
      <x:c r="B2" s="7" t="n">
        <x:v>0.15</x:v>
      </x:c>
      <x:c r="C2" s="7" t="n">
        <x:v>0.2</x:v>
      </x:c>
      <x:c r="D2" s="7" t="n">
        <x:v>0.3</x:v>
      </x:c>
      <x:c r="E2" s="6" t="n">
        <x:v>1</x:v>
      </x:c>
      <x:c r="F2" s="1" t="str">
        <x:v>Medida disponível</x:v>
      </x:c>
      <x:c r="G2" s="1" t="str">
        <x:v>Medida disponível</x:v>
      </x:c>
    </x:row>
    <x:row r="3" ht="25" customHeight="1">
      <x:c r="A3" s="6" t="n">
        <x:v>10</x:v>
      </x:c>
      <x:c r="B3" s="7" t="n">
        <x:v>1.4</x:v>
      </x:c>
      <x:c r="C3" s="7" t="n">
        <x:v>1.5</x:v>
      </x:c>
      <x:c r="D3" s="7" t="n">
        <x:v>1.7</x:v>
      </x:c>
      <x:c r="E3" s="6" t="n">
        <x:v>1</x:v>
      </x:c>
      <x:c r="F3" s="1" t="str">
        <x:v>Medida disponível</x:v>
      </x:c>
      <x:c r="G3" s="1" t="str">
        <x:v>Medida disponível</x:v>
      </x:c>
    </x:row>
    <x:row r="4" ht="25" customHeight="1">
      <x:c r="A4" s="6" t="n">
        <x:v>15</x:v>
      </x:c>
      <x:c r="B4" s="7" t="n">
        <x:v>3.1</x:v>
      </x:c>
      <x:c r="C4" s="7" t="n">
        <x:v>3.85</x:v>
      </x:c>
      <x:c r="D4" s="7" t="n">
        <x:v>4</x:v>
      </x:c>
      <x:c r="E4" s="6" t="n">
        <x:v>1</x:v>
      </x:c>
      <x:c r="F4" s="1" t="str">
        <x:v>Medida disponível</x:v>
      </x:c>
      <x:c r="G4" s="1" t="str">
        <x:v>Medida disponível</x:v>
      </x:c>
    </x:row>
    <x:row r="5" ht="25" customHeight="1">
      <x:c r="A5" s="6" t="n">
        <x:v>20</x:v>
      </x:c>
      <x:c r="B5" s="7" t="n">
        <x:v>8.7</x:v>
      </x:c>
      <x:c r="C5" s="7" t="n">
        <x:v>9.05</x:v>
      </x:c>
      <x:c r="D5" s="7" t="n">
        <x:v>9.4</x:v>
      </x:c>
      <x:c r="E5" s="6" t="n">
        <x:v>1</x:v>
      </x:c>
      <x:c r="F5" s="1" t="str">
        <x:v>Medida disponível</x:v>
      </x:c>
      <x:c r="G5" s="1" t="str">
        <x:v>Medida disponível</x:v>
      </x:c>
    </x:row>
    <x:row r="6" ht="25" customHeight="1">
      <x:c r="A6" s="6" t="n">
        <x:v>25</x:v>
      </x:c>
      <x:c r="B6" s="7" t="n">
        <x:v>13.05</x:v>
      </x:c>
      <x:c r="C6" s="7" t="n">
        <x:v>13.2</x:v>
      </x:c>
      <x:c r="D6" s="7" t="n">
        <x:v>13.8</x:v>
      </x:c>
      <x:c r="E6" s="6" t="n">
        <x:v>1</x:v>
      </x:c>
      <x:c r="F6" s="1" t="str">
        <x:v>Medida disponível</x:v>
      </x:c>
      <x:c r="G6" s="1" t="str">
        <x:v>Medida disponível</x:v>
      </x:c>
    </x:row>
    <x:row r="7" ht="25" customHeight="1">
      <x:c r="A7" s="6" t="n">
        <x:v>30</x:v>
      </x:c>
      <x:c r="B7" s="7" t="n">
        <x:v>18.8</x:v>
      </x:c>
      <x:c r="C7" s="7" t="n">
        <x:v>20.1</x:v>
      </x:c>
      <x:c r="D7" s="7" t="n">
        <x:v>20.7</x:v>
      </x:c>
      <x:c r="E7" s="6" t="n">
        <x:v>1</x:v>
      </x:c>
      <x:c r="F7" s="1" t="str">
        <x:v>Medida disponível</x:v>
      </x:c>
      <x:c r="G7" s="1" t="str">
        <x:v>Medida disponível</x:v>
      </x:c>
    </x:row>
    <x:row r="8" ht="25" customHeight="1">
      <x:c r="A8" s="6" t="n">
        <x:v>35</x:v>
      </x:c>
      <x:c r="B8" s="7" t="n">
        <x:v>28.6</x:v>
      </x:c>
      <x:c r="C8" s="7" t="n">
        <x:v>29.15</x:v>
      </x:c>
      <x:c r="D8" s="7" t="n">
        <x:v>29.95</x:v>
      </x:c>
      <x:c r="E8" s="6" t="n">
        <x:v>1</x:v>
      </x:c>
      <x:c r="F8" s="1" t="str">
        <x:v>Medida disponível</x:v>
      </x:c>
      <x:c r="G8" s="1" t="str">
        <x:v>Medida disponível</x:v>
      </x:c>
    </x:row>
    <x:row r="9" ht="25" customHeight="1">
      <x:c r="A9" s="6" t="n">
        <x:v>40</x:v>
      </x:c>
      <x:c r="B9" s="7" t="n">
        <x:v>32.7</x:v>
      </x:c>
      <x:c r="C9" s="7" t="n">
        <x:v>36.7</x:v>
      </x:c>
      <x:c r="D9" s="7" t="n">
        <x:v>40.15</x:v>
      </x:c>
      <x:c r="E9" s="6" t="n">
        <x:v>1</x:v>
      </x:c>
      <x:c r="F9" s="1" t="str">
        <x:v>Medida disponível</x:v>
      </x:c>
      <x:c r="G9" s="1" t="str">
        <x:v>Medida disponível</x:v>
      </x:c>
    </x:row>
    <x:row r="10" ht="25" customHeight="1">
      <x:c r="A10" s="6" t="n">
        <x:v>45</x:v>
      </x:c>
      <x:c r="B10" s="7" t="n">
        <x:v>48.6</x:v>
      </x:c>
      <x:c r="C10" s="7" t="n">
        <x:v>49.35</x:v>
      </x:c>
      <x:c r="D10" s="7" t="n">
        <x:v>53</x:v>
      </x:c>
      <x:c r="E10" s="6" t="n">
        <x:v>1</x:v>
      </x:c>
      <x:c r="F10" s="1" t="str">
        <x:v>Medida disponível</x:v>
      </x:c>
      <x:c r="G10" s="1" t="str">
        <x:v>Medida disponível</x:v>
      </x:c>
    </x:row>
    <x:row r="11" ht="25" customHeight="1">
      <x:c r="A11" s="6" t="n">
        <x:v>50</x:v>
      </x:c>
      <x:c r="B11" s="7" t="n">
        <x:v>63.35</x:v>
      </x:c>
      <x:c r="C11" s="7" t="n">
        <x:v>64.4</x:v>
      </x:c>
      <x:c r="D11" s="7" t="n">
        <x:v>67.35</x:v>
      </x:c>
      <x:c r="E11" s="6" t="n">
        <x:v>1</x:v>
      </x:c>
      <x:c r="F11" s="1" t="str">
        <x:v>Medida disponível</x:v>
      </x:c>
      <x:c r="G11" s="1" t="str">
        <x:v>Medida disponível</x:v>
      </x:c>
    </x:row>
    <x:row r="12" ht="25" customHeight="1">
      <x:c r="A12" s="6" t="n">
        <x:v>55</x:v>
      </x:c>
      <x:c r="B12" s="7" t="n">
        <x:v>81.7</x:v>
      </x:c>
      <x:c r="C12" s="7"/>
      <x:c r="D12" s="7"/>
      <x:c r="E12" s="6" t="n">
        <x:v>1</x:v>
      </x:c>
      <x:c r="F12" s="1" t="str">
        <x:v>Não atingiu o anteparo</x:v>
      </x:c>
      <x:c r="G12" s="1" t="str">
        <x:v>Não atingiu o anteparo</x:v>
      </x:c>
    </x:row>
    <x:row r="14">
      <x:c r="A14" t="str">
        <x:v>Prática: 13/10/2026. Grupo: Heitor Yochida de Ávila e Sofia Skolimoski.</x:v>
      </x:c>
    </x:row>
    <x:row r="15">
      <x:c r="A15" t="str">
        <x:v>Fonte: Adobe Scan Oct 17, 2026.pdf, página 1; números e incertezas conferidos pelo grupo em 18/10/2026.</x:v>
      </x:c>
    </x:row>
    <x:row r="16">
      <x:c r="A16" t="str">
        <x:v>A incerteza de 1 cm vale para todas as medidas. Células vazias em D2 e D3 de 55 cm correspondem a “no chão”.</x:v>
      </x:c>
    </x:row>
    <x:row r="17">
      <x:c r="A17" t="str">
        <x:v>x: afastamento horizontal da rampa. D1–D3: quedas abaixo de d₀, marcado com o anteparo junto à saída.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6" hidden="0" customWidth="1"/>
    <x:col min="3" max="3" width="16" hidden="0" customWidth="1"/>
    <x:col min="4" max="4" width="16" hidden="0" customWidth="1"/>
    <x:col min="5" max="5" width="16" hidden="0" customWidth="1"/>
    <x:col min="6" max="6" width="16" hidden="0" customWidth="1"/>
    <x:col min="7" max="7" width="16" hidden="0" customWidth="1"/>
    <x:col min="8" max="8" width="16" hidden="0" customWidth="1"/>
    <x:col min="9" max="9" width="16" hidden="0" customWidth="1"/>
    <x:col min="10" max="10" width="16" hidden="0" customWidth="1"/>
    <x:col min="11" max="11" width="16" hidden="0" customWidth="1"/>
    <x:col min="12" max="12" width="16" hidden="0" customWidth="1"/>
    <x:col min="13" max="13" width="16" hidden="0" customWidth="1"/>
    <x:col min="14" max="14" width="16" hidden="0" customWidth="1"/>
    <x:col min="15" max="15" width="16" hidden="0" customWidth="1"/>
    <x:col min="16" max="16" width="16" hidden="0" customWidth="1"/>
    <x:col min="17" max="17" width="16" hidden="0" customWidth="1"/>
    <x:col min="18" max="18" width="16" hidden="0" customWidth="1"/>
  </x:cols>
  <x:sheetData>
    <x:row r="1" ht="42" customHeight="1">
      <x:c r="A1" s="5" t="str">
        <x:v>x (cm)</x:v>
      </x:c>
      <x:c r="B1" s="5" t="str">
        <x:v>Média y (cm)</x:v>
      </x:c>
      <x:c r="C1" s="5" t="str">
        <x:v>s (cm)</x:v>
      </x:c>
      <x:c r="D1" s="5" t="str">
        <x:v>u estat. (cm)</x:v>
      </x:c>
      <x:c r="E1" s="5" t="str">
        <x:v>u total y (cm)</x:v>
      </x:c>
      <x:c r="F1" s="5" t="str">
        <x:v>x (m)</x:v>
      </x:c>
      <x:c r="G1" s="5" t="str">
        <x:v>y (m)</x:v>
      </x:c>
      <x:c r="H1" s="5" t="str">
        <x:v>u x (m)</x:v>
      </x:c>
      <x:c r="I1" s="5" t="str">
        <x:v>u y (m)</x:v>
      </x:c>
      <x:c r="J1" s="5" t="str">
        <x:v>ln(x/1m)</x:v>
      </x:c>
      <x:c r="K1" s="5" t="str">
        <x:v>ln(y/1m)</x:v>
      </x:c>
      <x:c r="L1" s="5" t="str">
        <x:v>u ln(x)</x:v>
      </x:c>
      <x:c r="M1" s="5" t="str">
        <x:v>u ln(y)</x:v>
      </x:c>
      <x:c r="N1" s="5" t="str">
        <x:v>x² (m²)</x:v>
      </x:c>
      <x:c r="O1" s="5" t="str">
        <x:v>u x² (m²)</x:v>
      </x:c>
      <x:c r="P1" s="5" t="str">
        <x:v>Peso n=2</x:v>
      </x:c>
      <x:c r="Q1" s="5" t="str">
        <x:v>ln(y)-2ln(x)</x:v>
      </x:c>
      <x:c r="R1" s="5" t="str">
        <x:v>Peso × diferença</x:v>
      </x:c>
    </x:row>
    <x:row r="2" ht="26" customHeight="1">
      <x:c r="A2" s="6" t="n">
        <x:f>'Medidas'!A2</x:f>
        <x:v>5</x:v>
      </x:c>
      <x:c r="B2" s="8" t="n">
        <x:f>AVERAGE('Medidas'!B2:D2)</x:f>
        <x:v>0.21666666666666665</x:v>
      </x:c>
      <x:c r="C2" s="8" t="n">
        <x:f>STDEV('Medidas'!B2:D2)</x:f>
        <x:v>0.07637626158259733</x:v>
      </x:c>
      <x:c r="D2" s="8" t="n">
        <x:f>C2/SQRT(3)</x:f>
        <x:v>0.044095855184409845</x:v>
      </x:c>
      <x:c r="E2" s="8" t="n">
        <x:f>SQRT(D2^2+'Medidas'!E2^2)</x:f>
        <x:v>1.00097175007312</x:v>
      </x:c>
      <x:c r="F2" s="8" t="n">
        <x:f>A2/100</x:f>
        <x:v>0.05</x:v>
      </x:c>
      <x:c r="G2" s="8" t="n">
        <x:f>B2/100</x:f>
        <x:v>0.0021666666666666666</x:v>
      </x:c>
      <x:c r="H2" s="8" t="n">
        <x:f>'Medidas'!E2/100</x:f>
        <x:v>0.01</x:v>
      </x:c>
      <x:c r="I2" s="8" t="n">
        <x:f>E2/100</x:f>
        <x:v>0.0100097175007312</x:v>
      </x:c>
      <x:c r="J2" s="8" t="n">
        <x:f>LN(F2)</x:f>
        <x:v>-2.995732273553991</x:v>
      </x:c>
      <x:c r="K2" s="8" t="n">
        <x:f>LN(G2)</x:f>
        <x:v>-6.134565390748655</x:v>
      </x:c>
      <x:c r="L2" s="8" t="n">
        <x:f>H2/F2</x:f>
        <x:v>0.19999999999999998</x:v>
      </x:c>
      <x:c r="M2" s="8" t="n">
        <x:f>I2/G2</x:f>
        <x:v>4.619869615722092</x:v>
      </x:c>
      <x:c r="N2" s="8" t="n">
        <x:f>F2^2</x:f>
        <x:v>0.0025000000000000005</x:v>
      </x:c>
      <x:c r="O2" s="8" t="n">
        <x:f>2*F2*H2</x:f>
        <x:v>0.001</x:v>
      </x:c>
      <x:c r="P2" s="8" t="n">
        <x:f>1/(M2^2+4*L2^2)</x:f>
        <x:v>0.046504716513852344</x:v>
      </x:c>
      <x:c r="Q2" s="8" t="n">
        <x:f>K2-2*J2</x:f>
        <x:v>-0.14310084364067333</x:v>
      </x:c>
      <x:c r="R2" s="8" t="n">
        <x:f>P2*Q2</x:f>
        <x:v>-0.006654864166402623</x:v>
      </x:c>
    </x:row>
    <x:row r="3" ht="26" customHeight="1">
      <x:c r="A3" s="6" t="n">
        <x:f>'Medidas'!A3</x:f>
        <x:v>10</x:v>
      </x:c>
      <x:c r="B3" s="8" t="n">
        <x:f>AVERAGE('Medidas'!B3:D3)</x:f>
        <x:v>1.5333333333333332</x:v>
      </x:c>
      <x:c r="C3" s="8" t="n">
        <x:f>STDEV('Medidas'!B3:D3)</x:f>
        <x:v>0.1527525231651947</x:v>
      </x:c>
      <x:c r="D3" s="8" t="n">
        <x:f>C3/SQRT(3)</x:f>
        <x:v>0.0881917103688197</x:v>
      </x:c>
      <x:c r="E3" s="8" t="n">
        <x:f>SQRT(D3^2+'Medidas'!E3^2)</x:f>
        <x:v>1.00388135642504</x:v>
      </x:c>
      <x:c r="F3" s="8" t="n">
        <x:f>A3/100</x:f>
        <x:v>0.1</x:v>
      </x:c>
      <x:c r="G3" s="8" t="n">
        <x:f>B3/100</x:f>
        <x:v>0.015333333333333332</x:v>
      </x:c>
      <x:c r="H3" s="8" t="n">
        <x:f>'Medidas'!E3/100</x:f>
        <x:v>0.01</x:v>
      </x:c>
      <x:c r="I3" s="8" t="n">
        <x:f>E3/100</x:f>
        <x:v>0.010038813564250399</x:v>
      </x:c>
      <x:c r="J3" s="8" t="n">
        <x:f>LN(F3)</x:f>
        <x:v>-2.3025850929940455</x:v>
      </x:c>
      <x:c r="K3" s="8" t="n">
        <x:f>LN(G3)</x:f>
        <x:v>-4.177726171161152</x:v>
      </x:c>
      <x:c r="L3" s="8" t="n">
        <x:f>H3/F3</x:f>
        <x:v>0.09999999999999999</x:v>
      </x:c>
      <x:c r="M3" s="8" t="n">
        <x:f>I3/G3</x:f>
        <x:v>0.654705232451113</x:v>
      </x:c>
      <x:c r="N3" s="8" t="n">
        <x:f>F3^2</x:f>
        <x:v>0.010000000000000002</x:v>
      </x:c>
      <x:c r="O3" s="8" t="n">
        <x:f>2*F3*H3</x:f>
        <x:v>0.002</x:v>
      </x:c>
      <x:c r="P3" s="8" t="n">
        <x:f>1/(M3^2+4*L3^2)</x:f>
        <x:v>2.133838893146706</x:v>
      </x:c>
      <x:c r="Q3" s="8" t="n">
        <x:f>K3-2*J3</x:f>
        <x:v>0.42744401482693917</x:v>
      </x:c>
      <x:c r="R3" s="8" t="n">
        <x:f>P3*Q3</x:f>
        <x:v>0.9120966634805</x:v>
      </x:c>
    </x:row>
    <x:row r="4" ht="26" customHeight="1">
      <x:c r="A4" s="6" t="n">
        <x:f>'Medidas'!A4</x:f>
        <x:v>15</x:v>
      </x:c>
      <x:c r="B4" s="8" t="n">
        <x:f>AVERAGE('Medidas'!B4:D4)</x:f>
        <x:v>3.65</x:v>
      </x:c>
      <x:c r="C4" s="8" t="n">
        <x:f>STDEV('Medidas'!B4:D4)</x:f>
        <x:v>0.4821825380496477</x:v>
      </x:c>
      <x:c r="D4" s="8" t="n">
        <x:f>C4/SQRT(3)</x:f>
        <x:v>0.2783882181415011</x:v>
      </x:c>
      <x:c r="E4" s="8" t="n">
        <x:f>SQRT(D4^2+'Medidas'!E4^2)</x:f>
        <x:v>1.0380269746013349</x:v>
      </x:c>
      <x:c r="F4" s="8" t="n">
        <x:f>A4/100</x:f>
        <x:v>0.15</x:v>
      </x:c>
      <x:c r="G4" s="8" t="n">
        <x:f>B4/100</x:f>
        <x:v>0.0365</x:v>
      </x:c>
      <x:c r="H4" s="8" t="n">
        <x:f>'Medidas'!E4/100</x:f>
        <x:v>0.01</x:v>
      </x:c>
      <x:c r="I4" s="8" t="n">
        <x:f>E4/100</x:f>
        <x:v>0.01038026974601335</x:v>
      </x:c>
      <x:c r="J4" s="8" t="n">
        <x:f>LN(F4)</x:f>
        <x:v>-1.8971199848858813</x:v>
      </x:c>
      <x:c r="K4" s="8" t="n">
        <x:f>LN(G4)</x:f>
        <x:v>-3.3104430183936913</x:v>
      </x:c>
      <x:c r="L4" s="8" t="n">
        <x:f>H4/F4</x:f>
        <x:v>0.06666666666666667</x:v>
      </x:c>
      <x:c r="M4" s="8" t="n">
        <x:f>I4/G4</x:f>
        <x:v>0.28439095194557124</x:v>
      </x:c>
      <x:c r="N4" s="8" t="n">
        <x:f>F4^2</x:f>
        <x:v>0.0225</x:v>
      </x:c>
      <x:c r="O4" s="8" t="n">
        <x:f>2*F4*H4</x:f>
        <x:v>0.003</x:v>
      </x:c>
      <x:c r="P4" s="8" t="n">
        <x:f>1/(M4^2+4*L4^2)</x:f>
        <x:v>10.136231835050845</x:v>
      </x:c>
      <x:c r="Q4" s="8" t="n">
        <x:f>K4-2*J4</x:f>
        <x:v>0.4837969513780713</x:v>
      </x:c>
      <x:c r="R4" s="8" t="n">
        <x:f>P4*Q4</x:f>
        <x:v>4.903878060258952</x:v>
      </x:c>
    </x:row>
    <x:row r="5" ht="26" customHeight="1">
      <x:c r="A5" s="6" t="n">
        <x:f>'Medidas'!A5</x:f>
        <x:v>20</x:v>
      </x:c>
      <x:c r="B5" s="8" t="n">
        <x:f>AVERAGE('Medidas'!B5:D5)</x:f>
        <x:v>9.049999999999999</x:v>
      </x:c>
      <x:c r="C5" s="8" t="n">
        <x:f>STDEV('Medidas'!B5:D5)</x:f>
        <x:v>0.35000000000000053</x:v>
      </x:c>
      <x:c r="D5" s="8" t="n">
        <x:f>C5/SQRT(3)</x:f>
        <x:v>0.20207259421636933</x:v>
      </x:c>
      <x:c r="E5" s="8" t="n">
        <x:f>SQRT(D5^2+'Medidas'!E5^2)</x:f>
        <x:v>1.0202123961868594</x:v>
      </x:c>
      <x:c r="F5" s="8" t="n">
        <x:f>A5/100</x:f>
        <x:v>0.2</x:v>
      </x:c>
      <x:c r="G5" s="8" t="n">
        <x:f>B5/100</x:f>
        <x:v>0.09049999999999998</x:v>
      </x:c>
      <x:c r="H5" s="8" t="n">
        <x:f>'Medidas'!E5/100</x:f>
        <x:v>0.01</x:v>
      </x:c>
      <x:c r="I5" s="8" t="n">
        <x:f>E5/100</x:f>
        <x:v>0.010202123961868594</x:v>
      </x:c>
      <x:c r="J5" s="8" t="n">
        <x:f>LN(F5)</x:f>
        <x:v>-1.6094379124341003</x:v>
      </x:c>
      <x:c r="K5" s="8" t="n">
        <x:f>LN(G5)</x:f>
        <x:v>-2.402405428276257</x:v>
      </x:c>
      <x:c r="L5" s="8" t="n">
        <x:f>H5/F5</x:f>
        <x:v>0.049999999999999996</x:v>
      </x:c>
      <x:c r="M5" s="8" t="n">
        <x:f>I5/G5</x:f>
        <x:v>0.11273065151236017</x:v>
      </x:c>
      <x:c r="N5" s="8" t="n">
        <x:f>F5^2</x:f>
        <x:v>0.04000000000000001</x:v>
      </x:c>
      <x:c r="O5" s="8" t="n">
        <x:f>2*F5*H5</x:f>
        <x:v>0.004</x:v>
      </x:c>
      <x:c r="P5" s="8" t="n">
        <x:f>1/(M5^2+4*L5^2)</x:f>
        <x:v>44.03695621978376</x:v>
      </x:c>
      <x:c r="Q5" s="8" t="n">
        <x:f>K5-2*J5</x:f>
        <x:v>0.8164703965919435</x:v>
      </x:c>
      <x:c r="R5" s="8" t="n">
        <x:f>P5*Q5</x:f>
        <x:v>35.954871109468904</x:v>
      </x:c>
    </x:row>
    <x:row r="6" ht="26" customHeight="1">
      <x:c r="A6" s="6" t="n">
        <x:f>'Medidas'!A6</x:f>
        <x:v>25</x:v>
      </x:c>
      <x:c r="B6" s="8" t="n">
        <x:f>AVERAGE('Medidas'!B6:D6)</x:f>
        <x:v>13.35</x:v>
      </x:c>
      <x:c r="C6" s="8" t="n">
        <x:f>STDEV('Medidas'!B6:D6)</x:f>
        <x:v>0.3968626966596888</x:v>
      </x:c>
      <x:c r="D6" s="8" t="n">
        <x:f>C6/SQRT(3)</x:f>
        <x:v>0.22912878474779214</x:v>
      </x:c>
      <x:c r="E6" s="8" t="n">
        <x:f>SQRT(D6^2+'Medidas'!E6^2)</x:f>
        <x:v>1.0259142264341596</x:v>
      </x:c>
      <x:c r="F6" s="8" t="n">
        <x:f>A6/100</x:f>
        <x:v>0.25</x:v>
      </x:c>
      <x:c r="G6" s="8" t="n">
        <x:f>B6/100</x:f>
        <x:v>0.1335</x:v>
      </x:c>
      <x:c r="H6" s="8" t="n">
        <x:f>'Medidas'!E6/100</x:f>
        <x:v>0.01</x:v>
      </x:c>
      <x:c r="I6" s="8" t="n">
        <x:f>E6/100</x:f>
        <x:v>0.010259142264341596</x:v>
      </x:c>
      <x:c r="J6" s="8" t="n">
        <x:f>LN(F6)</x:f>
        <x:v>-1.3862943611198906</x:v>
      </x:c>
      <x:c r="K6" s="8" t="n">
        <x:f>LN(G6)</x:f>
        <x:v>-2.0136538011418326</x:v>
      </x:c>
      <x:c r="L6" s="8" t="n">
        <x:f>H6/F6</x:f>
        <x:v>0.04</x:v>
      </x:c>
      <x:c r="M6" s="8" t="n">
        <x:f>I6/G6</x:f>
        <x:v>0.07684750759806439</x:v>
      </x:c>
      <x:c r="N6" s="8" t="n">
        <x:f>F6^2</x:f>
        <x:v>0.0625</x:v>
      </x:c>
      <x:c r="O6" s="8" t="n">
        <x:f>2*F6*H6</x:f>
        <x:v>0.005</x:v>
      </x:c>
      <x:c r="P6" s="8" t="n">
        <x:f>1/(M6^2+4*L6^2)</x:f>
        <x:v>81.26421488251462</x:v>
      </x:c>
      <x:c r="Q6" s="8" t="n">
        <x:f>K6-2*J6</x:f>
        <x:v>0.7589349210979486</x:v>
      </x:c>
      <x:c r="R6" s="8" t="n">
        <x:f>P6*Q6</x:f>
        <x:v>61.674250509947974</x:v>
      </x:c>
    </x:row>
    <x:row r="7" ht="26" customHeight="1">
      <x:c r="A7" s="6" t="n">
        <x:f>'Medidas'!A7</x:f>
        <x:v>30</x:v>
      </x:c>
      <x:c r="B7" s="8" t="n">
        <x:f>AVERAGE('Medidas'!B7:D7)</x:f>
        <x:v>19.86666666666667</x:v>
      </x:c>
      <x:c r="C7" s="8" t="n">
        <x:f>STDEV('Medidas'!B7:D7)</x:f>
        <x:v>0.9712534856222305</x:v>
      </x:c>
      <x:c r="D7" s="8" t="n">
        <x:f>C7/SQRT(3)</x:f>
        <x:v>0.5607534613753571</x:v>
      </x:c>
      <x:c r="E7" s="8" t="n">
        <x:f>SQRT(D7^2+'Medidas'!E7^2)</x:f>
        <x:v>1.1464922347946558</x:v>
      </x:c>
      <x:c r="F7" s="8" t="n">
        <x:f>A7/100</x:f>
        <x:v>0.3</x:v>
      </x:c>
      <x:c r="G7" s="8" t="n">
        <x:f>B7/100</x:f>
        <x:v>0.1986666666666667</x:v>
      </x:c>
      <x:c r="H7" s="8" t="n">
        <x:f>'Medidas'!E7/100</x:f>
        <x:v>0.01</x:v>
      </x:c>
      <x:c r="I7" s="8" t="n">
        <x:f>E7/100</x:f>
        <x:v>0.011464922347946558</x:v>
      </x:c>
      <x:c r="J7" s="8" t="n">
        <x:f>LN(F7)</x:f>
        <x:v>-1.2039728043259361</x:v>
      </x:c>
      <x:c r="K7" s="8" t="n">
        <x:f>LN(G7)</x:f>
        <x:v>-1.6161269005848968</x:v>
      </x:c>
      <x:c r="L7" s="8" t="n">
        <x:f>H7/F7</x:f>
        <x:v>0.03333333333333333</x:v>
      </x:c>
      <x:c r="M7" s="8" t="n">
        <x:f>I7/G7</x:f>
        <x:v>0.05770934067758333</x:v>
      </x:c>
      <x:c r="N7" s="8" t="n">
        <x:f>F7^2</x:f>
        <x:v>0.09</x:v>
      </x:c>
      <x:c r="O7" s="8" t="n">
        <x:f>2*F7*H7</x:f>
        <x:v>0.006</x:v>
      </x:c>
      <x:c r="P7" s="8" t="n">
        <x:f>1/(M7^2+4*L7^2)</x:f>
        <x:v>128.62046601898004</x:v>
      </x:c>
      <x:c r="Q7" s="8" t="n">
        <x:f>K7-2*J7</x:f>
        <x:v>0.7918187080669754</x:v>
      </x:c>
      <x:c r="R7" s="8" t="n">
        <x:f>P7*Q7</x:f>
        <x:v>101.84409123412108</x:v>
      </x:c>
    </x:row>
    <x:row r="8" ht="26" customHeight="1">
      <x:c r="A8" s="6" t="n">
        <x:f>'Medidas'!A8</x:f>
        <x:v>35</x:v>
      </x:c>
      <x:c r="B8" s="8" t="n">
        <x:f>AVERAGE('Medidas'!B8:D8)</x:f>
        <x:v>29.233333333333334</x:v>
      </x:c>
      <x:c r="C8" s="8" t="n">
        <x:f>STDEV('Medidas'!B8:D8)</x:f>
        <x:v>0.6788470618138758</x:v>
      </x:c>
      <x:c r="D8" s="8" t="n">
        <x:f>C8/SQRT(3)</x:f>
        <x:v>0.39193253387682775</x:v>
      </x:c>
      <x:c r="E8" s="8" t="n">
        <x:f>SQRT(D8^2+'Medidas'!E8^2)</x:f>
        <x:v>1.074062899047868</x:v>
      </x:c>
      <x:c r="F8" s="8" t="n">
        <x:f>A8/100</x:f>
        <x:v>0.35</x:v>
      </x:c>
      <x:c r="G8" s="8" t="n">
        <x:f>B8/100</x:f>
        <x:v>0.29233333333333333</x:v>
      </x:c>
      <x:c r="H8" s="8" t="n">
        <x:f>'Medidas'!E8/100</x:f>
        <x:v>0.01</x:v>
      </x:c>
      <x:c r="I8" s="8" t="n">
        <x:f>E8/100</x:f>
        <x:v>0.01074062899047868</x:v>
      </x:c>
      <x:c r="J8" s="8" t="n">
        <x:f>LN(F8)</x:f>
        <x:v>-1.0498221244986778</x:v>
      </x:c>
      <x:c r="K8" s="8" t="n">
        <x:f>LN(G8)</x:f>
        <x:v>-1.2298605752780638</x:v>
      </x:c>
      <x:c r="L8" s="8" t="n">
        <x:f>H8/F8</x:f>
        <x:v>0.028571428571428574</x:v>
      </x:c>
      <x:c r="M8" s="8" t="n">
        <x:f>I8/G8</x:f>
        <x:v>0.03674103417495558</x:v>
      </x:c>
      <x:c r="N8" s="8" t="n">
        <x:f>F8^2</x:f>
        <x:v>0.12249999999999998</x:v>
      </x:c>
      <x:c r="O8" s="8" t="n">
        <x:f>2*F8*H8</x:f>
        <x:v>0.006999999999999999</x:v>
      </x:c>
      <x:c r="P8" s="8" t="n">
        <x:f>1/(M8^2+4*L8^2)</x:f>
        <x:v>216.67487759356388</x:v>
      </x:c>
      <x:c r="Q8" s="8" t="n">
        <x:f>K8-2*J8</x:f>
        <x:v>0.8697836737192919</x:v>
      </x:c>
      <x:c r="R8" s="8" t="n">
        <x:f>P8*Q8</x:f>
        <x:v>188.46027103600787</x:v>
      </x:c>
    </x:row>
    <x:row r="9" ht="26" customHeight="1">
      <x:c r="A9" s="6" t="n">
        <x:f>'Medidas'!A9</x:f>
        <x:v>40</x:v>
      </x:c>
      <x:c r="B9" s="8" t="n">
        <x:f>AVERAGE('Medidas'!B9:D9)</x:f>
        <x:v>36.51666666666667</x:v>
      </x:c>
      <x:c r="C9" s="8" t="n">
        <x:f>STDEV('Medidas'!B9:D9)</x:f>
        <x:v>3.7283821334907876</x:v>
      </x:c>
      <x:c r="D9" s="8" t="n">
        <x:f>C9/SQRT(3)</x:f>
        <x:v>2.1525824284126975</x:v>
      </x:c>
      <x:c r="E9" s="8" t="n">
        <x:f>SQRT(D9^2+'Medidas'!E9^2)</x:f>
        <x:v>2.3735229325016234</x:v>
      </x:c>
      <x:c r="F9" s="8" t="n">
        <x:f>A9/100</x:f>
        <x:v>0.4</x:v>
      </x:c>
      <x:c r="G9" s="8" t="n">
        <x:f>B9/100</x:f>
        <x:v>0.36516666666666675</x:v>
      </x:c>
      <x:c r="H9" s="8" t="n">
        <x:f>'Medidas'!E9/100</x:f>
        <x:v>0.01</x:v>
      </x:c>
      <x:c r="I9" s="8" t="n">
        <x:f>E9/100</x:f>
        <x:v>0.023735229325016233</x:v>
      </x:c>
      <x:c r="J9" s="8" t="n">
        <x:f>LN(F9)</x:f>
        <x:v>-0.916290731874155</x:v>
      </x:c>
      <x:c r="K9" s="8" t="n">
        <x:f>LN(G9)</x:f>
        <x:v>-1.0074014086147254</x:v>
      </x:c>
      <x:c r="L9" s="8" t="n">
        <x:f>H9/F9</x:f>
        <x:v>0.024999999999999998</x:v>
      </x:c>
      <x:c r="M9" s="8" t="n">
        <x:f>I9/G9</x:f>
        <x:v>0.06499834593797232</x:v>
      </x:c>
      <x:c r="N9" s="8" t="n">
        <x:f>F9^2</x:f>
        <x:v>0.16000000000000003</x:v>
      </x:c>
      <x:c r="O9" s="8" t="n">
        <x:f>2*F9*H9</x:f>
        <x:v>0.008</x:v>
      </x:c>
      <x:c r="P9" s="8" t="n">
        <x:f>1/(M9^2+4*L9^2)</x:f>
        <x:v>148.7036394124597</x:v>
      </x:c>
      <x:c r="Q9" s="8" t="n">
        <x:f>K9-2*J9</x:f>
        <x:v>0.8251800551335846</x:v>
      </x:c>
      <x:c r="R9" s="8" t="n">
        <x:f>P9*Q9</x:f>
        <x:v>122.70727736893818</x:v>
      </x:c>
    </x:row>
    <x:row r="10" ht="26" customHeight="1">
      <x:c r="A10" s="6" t="n">
        <x:f>'Medidas'!A10</x:f>
        <x:v>45</x:v>
      </x:c>
      <x:c r="B10" s="8" t="n">
        <x:f>AVERAGE('Medidas'!B10:D10)</x:f>
        <x:v>50.31666666666666</x:v>
      </x:c>
      <x:c r="C10" s="8" t="n">
        <x:f>STDEV('Medidas'!B10:D10)</x:f>
        <x:v>2.353897477235007</x:v>
      </x:c>
      <x:c r="D10" s="8" t="n">
        <x:f>C10/SQRT(3)</x:f>
        <x:v>1.3590233421264124</x:v>
      </x:c>
      <x:c r="E10" s="8" t="n">
        <x:f>SQRT(D10^2+'Medidas'!E10^2)</x:f>
        <x:v>1.6872890814689827</x:v>
      </x:c>
      <x:c r="F10" s="8" t="n">
        <x:f>A10/100</x:f>
        <x:v>0.45</x:v>
      </x:c>
      <x:c r="G10" s="8" t="n">
        <x:f>B10/100</x:f>
        <x:v>0.5031666666666667</x:v>
      </x:c>
      <x:c r="H10" s="8" t="n">
        <x:f>'Medidas'!E10/100</x:f>
        <x:v>0.01</x:v>
      </x:c>
      <x:c r="I10" s="8" t="n">
        <x:f>E10/100</x:f>
        <x:v>0.016872890814689828</x:v>
      </x:c>
      <x:c r="J10" s="8" t="n">
        <x:f>LN(F10)</x:f>
        <x:v>-0.7985076962177716</x:v>
      </x:c>
      <x:c r="K10" s="8" t="n">
        <x:f>LN(G10)</x:f>
        <x:v>-0.6868338185033532</x:v>
      </x:c>
      <x:c r="L10" s="8" t="n">
        <x:f>H10/F10</x:f>
        <x:v>0.022222222222222223</x:v>
      </x:c>
      <x:c r="M10" s="8" t="n">
        <x:f>I10/G10</x:f>
        <x:v>0.033533403407796945</x:v>
      </x:c>
      <x:c r="N10" s="8" t="n">
        <x:f>F10^2</x:f>
        <x:v>0.2025</x:v>
      </x:c>
      <x:c r="O10" s="8" t="n">
        <x:f>2*F10*H10</x:f>
        <x:v>0.009000000000000001</x:v>
      </x:c>
      <x:c r="P10" s="8" t="n">
        <x:f>1/(M10^2+4*L10^2)</x:f>
        <x:v>322.60168856461786</x:v>
      </x:c>
      <x:c r="Q10" s="8" t="n">
        <x:f>K10-2*J10</x:f>
        <x:v>0.91018157393219</x:v>
      </x:c>
      <x:c r="R10" s="8" t="n">
        <x:f>P10*Q10</x:f>
        <x:v>293.6261126509261</x:v>
      </x:c>
    </x:row>
    <x:row r="11" ht="26" customHeight="1">
      <x:c r="A11" s="6" t="n">
        <x:f>'Medidas'!A11</x:f>
        <x:v>50</x:v>
      </x:c>
      <x:c r="B11" s="8" t="n">
        <x:f>AVERAGE('Medidas'!B11:D11)</x:f>
        <x:v>65.03333333333333</x:v>
      </x:c>
      <x:c r="C11" s="8" t="n">
        <x:f>STDEV('Medidas'!B11:D11)</x:f>
        <x:v>2.0738450601077494</x:v>
      </x:c>
      <x:c r="D11" s="8" t="n">
        <x:f>C11/SQRT(3)</x:f>
        <x:v>1.1973350037107848</x:v>
      </x:c>
      <x:c r="E11" s="8" t="n">
        <x:f>SQRT(D11^2+'Medidas'!E11^2)</x:f>
        <x:v>1.5600035612494945</x:v>
      </x:c>
      <x:c r="F11" s="8" t="n">
        <x:f>A11/100</x:f>
        <x:v>0.5</x:v>
      </x:c>
      <x:c r="G11" s="8" t="n">
        <x:f>B11/100</x:f>
        <x:v>0.6503333333333333</x:v>
      </x:c>
      <x:c r="H11" s="8" t="n">
        <x:f>'Medidas'!E11/100</x:f>
        <x:v>0.01</x:v>
      </x:c>
      <x:c r="I11" s="8" t="n">
        <x:f>E11/100</x:f>
        <x:v>0.015600035612494945</x:v>
      </x:c>
      <x:c r="J11" s="8" t="n">
        <x:f>LN(F11)</x:f>
        <x:v>-0.6931471805599453</x:v>
      </x:c>
      <x:c r="K11" s="8" t="n">
        <x:f>LN(G11)</x:f>
        <x:v>-0.4302702270271356</x:v>
      </x:c>
      <x:c r="L11" s="8" t="n">
        <x:f>H11/F11</x:f>
        <x:v>0.02</x:v>
      </x:c>
      <x:c r="M11" s="8" t="n">
        <x:f>I11/G11</x:f>
        <x:v>0.02398775337646583</x:v>
      </x:c>
      <x:c r="N11" s="8" t="n">
        <x:f>F11^2</x:f>
        <x:v>0.25</x:v>
      </x:c>
      <x:c r="O11" s="8" t="n">
        <x:f>2*F11*H11</x:f>
        <x:v>0.01</x:v>
      </x:c>
      <x:c r="P11" s="8" t="n">
        <x:f>1/(M11^2+4*L11^2)</x:f>
        <x:v>459.6829734118688</x:v>
      </x:c>
      <x:c r="Q11" s="8" t="n">
        <x:f>K11-2*J11</x:f>
        <x:v>0.956024134092755</x:v>
      </x:c>
      <x:c r="R11" s="8" t="n">
        <x:f>P11*Q11</x:f>
        <x:v>439.46801661326475</x:v>
      </x:c>
    </x:row>
    <x:row r="13">
      <x:c r="A13" t="str">
        <x:v>A linha de 55 cm está preservada na aba Medidas; não entra nos ajustes principais por ter apenas um impacto medido.</x:v>
      </x:c>
    </x:row>
    <x:row r="14">
      <x:c r="A14" t="str">
        <x:v>As incertezas de logaritmos e quadrados usam propagação de primeira ordem. Em 5 cm, u(y) é maior que a média.</x:v>
      </x:c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8" hidden="0" customWidth="1"/>
    <x:col min="3" max="3" width="63" hidden="0" customWidth="1"/>
  </x:cols>
  <x:sheetData>
    <x:row r="1" ht="42" customHeight="1">
      <x:c r="A1" s="5" t="str">
        <x:v>Resultado</x:v>
      </x:c>
      <x:c r="B1" s="5" t="str">
        <x:v>Valor</x:v>
      </x:c>
      <x:c r="C1" s="5" t="str">
        <x:v>Unidade / observação</x:v>
      </x:c>
    </x:row>
    <x:row r="2" ht="26" customHeight="1">
      <x:c r="A2" s="1" t="str">
        <x:v>g adotado</x:v>
      </x:c>
      <x:c r="B2" s="8" t="n">
        <x:v>9.79</x:v>
      </x:c>
      <x:c r="C2" s="1" t="str">
        <x:v>m/s² — capítulo 13</x:v>
      </x:c>
    </x:row>
    <x:row r="3" ht="26" customHeight="1">
      <x:c r="A3" s="1" t="str">
        <x:v>B — log com n=2</x:v>
      </x:c>
      <x:c r="B3" s="8" t="n">
        <x:f>SUM(Tratamento!R2:R11)/SUM(Tratamento!P2:P11)</x:f>
        <x:v>0.8837562632382385</x:v>
      </x:c>
      <x:c r="C3" s="1" t="str">
        <x:v>ln(y/1m)=2ln(x/1m)+B</x:v>
      </x:c>
    </x:row>
    <x:row r="4" ht="26" customHeight="1">
      <x:c r="A4" s="1" t="str">
        <x:v>u(B)</x:v>
      </x:c>
      <x:c r="B4" s="8" t="n">
        <x:f>1/SQRT(SUM(Tratamento!P2:P11))</x:f>
        <x:v>0.026594414847114993</x:v>
      </x:c>
      <x:c r="C4" s="1" t="str">
        <x:v>Sem reescala por qui-quadrado</x:v>
      </x:c>
    </x:row>
    <x:row r="5" ht="26" customHeight="1">
      <x:c r="A5" s="1" t="str">
        <x:v>A — log com n=2</x:v>
      </x:c>
      <x:c r="B5" s="8" t="n">
        <x:f>EXP(B3)</x:f>
        <x:v>2.4199727099824115</x:v>
      </x:c>
      <x:c r="C5" s="1" t="str">
        <x:v>m⁻¹</x:v>
      </x:c>
    </x:row>
    <x:row r="6" ht="26" customHeight="1">
      <x:c r="A6" s="1" t="str">
        <x:v>u(A) — log</x:v>
      </x:c>
      <x:c r="B6" s="8" t="n">
        <x:f>B5*B4</x:f>
        <x:v>0.06435775816796935</x:v>
      </x:c>
      <x:c r="C6" s="1" t="str">
        <x:v>m⁻¹</x:v>
      </x:c>
    </x:row>
    <x:row r="7" ht="26" customHeight="1">
      <x:c r="A7" s="1" t="str">
        <x:v>v₀ — log com n=2</x:v>
      </x:c>
      <x:c r="B7" s="8" t="n">
        <x:f>SQRT(B2/(2*B5))</x:f>
        <x:v>1.422234187119151</x:v>
      </x:c>
      <x:c r="C7" s="1" t="str">
        <x:v>m/s</x:v>
      </x:c>
    </x:row>
    <x:row r="8" ht="26" customHeight="1">
      <x:c r="A8" s="1" t="str">
        <x:v>u(v₀) — log</x:v>
      </x:c>
      <x:c r="B8" s="8" t="n">
        <x:f>B7*B6/(2*B5)</x:f>
        <x:v>0.018911742990998036</x:v>
      </x:c>
      <x:c r="C8" s="1" t="str">
        <x:v>m/s</x:v>
      </x:c>
    </x:row>
    <x:row r="9" ht="26" customHeight="1">
      <x:c r="A9" s="1" t="str">
        <x:v>A — ajuste y por x²</x:v>
      </x:c>
      <x:c r="B9" s="8" t="n">
        <x:v>2.4197642281450102</x:v>
      </x:c>
      <x:c r="C9" s="1" t="str">
        <x:v>m⁻¹ — regressão com incerteza nos dois eixos</x:v>
      </x:c>
    </x:row>
    <x:row r="10" ht="26" customHeight="1">
      <x:c r="A10" s="1" t="str">
        <x:v>u(A) — ajuste y por x²</x:v>
      </x:c>
      <x:c r="B10" s="8" t="n">
        <x:v>0.0635484818555007</x:v>
      </x:c>
      <x:c r="C10" s="1" t="str">
        <x:v>m⁻¹</x:v>
      </x:c>
    </x:row>
    <x:row r="11" ht="26" customHeight="1">
      <x:c r="A11" s="1" t="str">
        <x:v>v₀ — ajuste y por x²</x:v>
      </x:c>
      <x:c r="B11" s="8" t="n">
        <x:f>SQRT(B2/(2*B9))</x:f>
        <x:v>1.422295454164655</x:v>
      </x:c>
      <x:c r="C11" s="1" t="str">
        <x:v>m/s</x:v>
      </x:c>
    </x:row>
    <x:row r="12" ht="26" customHeight="1">
      <x:c r="A12" s="1" t="str">
        <x:v>u(v₀) — ajuste y por x²</x:v>
      </x:c>
      <x:c r="B12" s="8" t="n">
        <x:f>B11*B10/(2*B9)</x:f>
        <x:v>0.018676347846383484</x:v>
      </x:c>
      <x:c r="C12" s="1" t="str">
        <x:v>m/s</x:v>
      </x:c>
    </x:row>
    <x:row r="13" ht="26" customHeight="1">
      <x:c r="A13" s="1" t="str">
        <x:v>n — expoente livre</x:v>
      </x:c>
      <x:c r="B13" s="8" t="n">
        <x:v>2.2615207975064395</x:v>
      </x:c>
      <x:c r="C13" s="1" t="str">
        <x:v>Adimensional</x:v>
      </x:c>
    </x:row>
    <x:row r="14" ht="26" customHeight="1">
      <x:c r="A14" s="1" t="str">
        <x:v>u(n)</x:v>
      </x:c>
      <x:c r="B14" s="8" t="n">
        <x:v>0.10988124227819401</x:v>
      </x:c>
      <x:c r="C14" s="1" t="str">
        <x:v>Sem reescala</x:v>
      </x:c>
    </x:row>
    <x:row r="15" ht="26" customHeight="1">
      <x:c r="A15" s="1" t="str">
        <x:v>C — expoente livre</x:v>
      </x:c>
      <x:c r="B15" s="8" t="n">
        <x:v>3.0775131039109995</x:v>
      </x:c>
      <x:c r="C15" s="1" t="str">
        <x:v>m em y=C(x/1m)^n</x:v>
      </x:c>
    </x:row>
    <x:row r="16" ht="26" customHeight="1">
      <x:c r="A16" s="1" t="str">
        <x:v>u(C)</x:v>
      </x:c>
      <x:c r="B16" s="8" t="n">
        <x:v>0.32511319825810114</x:v>
      </x:c>
      <x:c r="C16" s="1" t="str">
        <x:v>m</x:v>
      </x:c>
    </x:row>
    <x:row r="17" ht="26" customHeight="1">
      <x:c r="A17" s="1" t="str">
        <x:v>Conjuntos completos</x:v>
      </x:c>
      <x:c r="B17" s="1" t="n">
        <x:v>10</x:v>
      </x:c>
      <x:c r="C17" s="1" t="str">
        <x:v>Três impactos em cada distância</x:v>
      </x:c>
    </x:row>
    <x:row r="19">
      <x:c r="A19" t="str">
        <x:v>As médias, propagações e o ajuste logarítmico com n=2 recalculam ao editar os dados.</x:v>
      </x:c>
    </x:row>
    <x:row r="20">
      <x:c r="A20" t="str">
        <x:v>Os parâmetros de regressão nos dois eixos são resultados do script calcular_ex04.py; exigem nova execução após alterar medidas.</x:v>
      </x:c>
    </x:row>
    <x:row r="21">
      <x:c r="A21" t="str">
        <x:v>Com n livre, C não fornece uma única velocidade inicial pelo modelo de lançamento horizontal.</x:v>
      </x:c>
    </x:row>
  </x:sheetData>
  <x:pageMargins left="0.7" right="0.7" top="0.75" bottom="0.75" header="0.3" footer="0.3"/>
</x:worksheet>
</file>